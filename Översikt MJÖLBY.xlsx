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45355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45355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45355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35484-2020</t>
        </is>
      </c>
      <c r="B5" s="1" t="n">
        <v>44042</v>
      </c>
      <c r="C5" s="1" t="n">
        <v>45355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1.6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Springkorn
Strutbräken</t>
        </is>
      </c>
      <c r="S5">
        <f>HYPERLINK("https://klasma.github.io/Logging_0586/artfynd/A 35484-2020 artfynd.xlsx", "A 35484-2020")</f>
        <v/>
      </c>
      <c r="T5">
        <f>HYPERLINK("https://klasma.github.io/Logging_0586/kartor/A 35484-2020 karta.png", "A 35484-2020")</f>
        <v/>
      </c>
      <c r="V5">
        <f>HYPERLINK("https://klasma.github.io/Logging_0586/klagomål/A 35484-2020 FSC-klagomål.docx", "A 35484-2020")</f>
        <v/>
      </c>
      <c r="W5">
        <f>HYPERLINK("https://klasma.github.io/Logging_0586/klagomålsmail/A 35484-2020 FSC-klagomål mail.docx", "A 35484-2020")</f>
        <v/>
      </c>
      <c r="X5">
        <f>HYPERLINK("https://klasma.github.io/Logging_0586/tillsyn/A 35484-2020 tillsynsbegäran.docx", "A 35484-2020")</f>
        <v/>
      </c>
      <c r="Y5">
        <f>HYPERLINK("https://klasma.github.io/Logging_0586/tillsynsmail/A 35484-2020 tillsynsbegäran mail.docx", "A 35484-2020")</f>
        <v/>
      </c>
    </row>
    <row r="6" ht="15" customHeight="1">
      <c r="A6" t="inlineStr">
        <is>
          <t>A 30642-2021</t>
        </is>
      </c>
      <c r="B6" s="1" t="n">
        <v>44365</v>
      </c>
      <c r="C6" s="1" t="n">
        <v>45355</v>
      </c>
      <c r="D6" t="inlineStr">
        <is>
          <t>ÖSTERGÖTLANDS LÄN</t>
        </is>
      </c>
      <c r="E6" t="inlineStr">
        <is>
          <t>MJÖLBY</t>
        </is>
      </c>
      <c r="F6" t="inlineStr">
        <is>
          <t>Sveaskog</t>
        </is>
      </c>
      <c r="G6" t="n">
        <v>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Tvåblad
Grönvit nattviol</t>
        </is>
      </c>
      <c r="S6">
        <f>HYPERLINK("https://klasma.github.io/Logging_0586/artfynd/A 30642-2021 artfynd.xlsx", "A 30642-2021")</f>
        <v/>
      </c>
      <c r="T6">
        <f>HYPERLINK("https://klasma.github.io/Logging_0586/kartor/A 30642-2021 karta.png", "A 30642-2021")</f>
        <v/>
      </c>
      <c r="V6">
        <f>HYPERLINK("https://klasma.github.io/Logging_0586/klagomål/A 30642-2021 FSC-klagomål.docx", "A 30642-2021")</f>
        <v/>
      </c>
      <c r="W6">
        <f>HYPERLINK("https://klasma.github.io/Logging_0586/klagomålsmail/A 30642-2021 FSC-klagomål mail.docx", "A 30642-2021")</f>
        <v/>
      </c>
      <c r="X6">
        <f>HYPERLINK("https://klasma.github.io/Logging_0586/tillsyn/A 30642-2021 tillsynsbegäran.docx", "A 30642-2021")</f>
        <v/>
      </c>
      <c r="Y6">
        <f>HYPERLINK("https://klasma.github.io/Logging_0586/tillsynsmail/A 30642-2021 tillsynsbegäran mail.docx", "A 30642-2021")</f>
        <v/>
      </c>
    </row>
    <row r="7" ht="15" customHeight="1">
      <c r="A7" t="inlineStr">
        <is>
          <t>A 47669-2023</t>
        </is>
      </c>
      <c r="B7" s="1" t="n">
        <v>45203</v>
      </c>
      <c r="C7" s="1" t="n">
        <v>45355</v>
      </c>
      <c r="D7" t="inlineStr">
        <is>
          <t>ÖSTERGÖTLANDS LÄN</t>
        </is>
      </c>
      <c r="E7" t="inlineStr">
        <is>
          <t>MJÖLBY</t>
        </is>
      </c>
      <c r="G7" t="n">
        <v>10.5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Tibast
Blåsippa</t>
        </is>
      </c>
      <c r="S7">
        <f>HYPERLINK("https://klasma.github.io/Logging_0586/artfynd/A 47669-2023 artfynd.xlsx", "A 47669-2023")</f>
        <v/>
      </c>
      <c r="T7">
        <f>HYPERLINK("https://klasma.github.io/Logging_0586/kartor/A 47669-2023 karta.png", "A 47669-2023")</f>
        <v/>
      </c>
      <c r="V7">
        <f>HYPERLINK("https://klasma.github.io/Logging_0586/klagomål/A 47669-2023 FSC-klagomål.docx", "A 47669-2023")</f>
        <v/>
      </c>
      <c r="W7">
        <f>HYPERLINK("https://klasma.github.io/Logging_0586/klagomålsmail/A 47669-2023 FSC-klagomål mail.docx", "A 47669-2023")</f>
        <v/>
      </c>
      <c r="X7">
        <f>HYPERLINK("https://klasma.github.io/Logging_0586/tillsyn/A 47669-2023 tillsynsbegäran.docx", "A 47669-2023")</f>
        <v/>
      </c>
      <c r="Y7">
        <f>HYPERLINK("https://klasma.github.io/Logging_0586/tillsynsmail/A 47669-2023 tillsynsbegäran mail.docx", "A 47669-2023")</f>
        <v/>
      </c>
    </row>
    <row r="8" ht="15" customHeight="1">
      <c r="A8" t="inlineStr">
        <is>
          <t>A 67960-2018</t>
        </is>
      </c>
      <c r="B8" s="1" t="n">
        <v>43440</v>
      </c>
      <c r="C8" s="1" t="n">
        <v>45355</v>
      </c>
      <c r="D8" t="inlineStr">
        <is>
          <t>ÖSTERGÖTLANDS LÄN</t>
        </is>
      </c>
      <c r="E8" t="inlineStr">
        <is>
          <t>MJÖLBY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Backsvala</t>
        </is>
      </c>
      <c r="S8">
        <f>HYPERLINK("https://klasma.github.io/Logging_0586/artfynd/A 67960-2018 artfynd.xlsx", "A 67960-2018")</f>
        <v/>
      </c>
      <c r="T8">
        <f>HYPERLINK("https://klasma.github.io/Logging_0586/kartor/A 67960-2018 karta.png", "A 67960-2018")</f>
        <v/>
      </c>
      <c r="V8">
        <f>HYPERLINK("https://klasma.github.io/Logging_0586/klagomål/A 67960-2018 FSC-klagomål.docx", "A 67960-2018")</f>
        <v/>
      </c>
      <c r="W8">
        <f>HYPERLINK("https://klasma.github.io/Logging_0586/klagomålsmail/A 67960-2018 FSC-klagomål mail.docx", "A 67960-2018")</f>
        <v/>
      </c>
      <c r="X8">
        <f>HYPERLINK("https://klasma.github.io/Logging_0586/tillsyn/A 67960-2018 tillsynsbegäran.docx", "A 67960-2018")</f>
        <v/>
      </c>
      <c r="Y8">
        <f>HYPERLINK("https://klasma.github.io/Logging_0586/tillsynsmail/A 67960-2018 tillsynsbegäran mail.docx", "A 67960-2018")</f>
        <v/>
      </c>
    </row>
    <row r="9" ht="15" customHeight="1">
      <c r="A9" t="inlineStr">
        <is>
          <t>A 49427-2019</t>
        </is>
      </c>
      <c r="B9" s="1" t="n">
        <v>43732</v>
      </c>
      <c r="C9" s="1" t="n">
        <v>45355</v>
      </c>
      <c r="D9" t="inlineStr">
        <is>
          <t>ÖSTERGÖTLANDS LÄN</t>
        </is>
      </c>
      <c r="E9" t="inlineStr">
        <is>
          <t>MJÖLBY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HYPERLINK("https://klasma.github.io/Logging_0586/artfynd/A 49427-2019 artfynd.xlsx", "A 49427-2019")</f>
        <v/>
      </c>
      <c r="T9">
        <f>HYPERLINK("https://klasma.github.io/Logging_0586/kartor/A 49427-2019 karta.png", "A 49427-2019")</f>
        <v/>
      </c>
      <c r="V9">
        <f>HYPERLINK("https://klasma.github.io/Logging_0586/klagomål/A 49427-2019 FSC-klagomål.docx", "A 49427-2019")</f>
        <v/>
      </c>
      <c r="W9">
        <f>HYPERLINK("https://klasma.github.io/Logging_0586/klagomålsmail/A 49427-2019 FSC-klagomål mail.docx", "A 49427-2019")</f>
        <v/>
      </c>
      <c r="X9">
        <f>HYPERLINK("https://klasma.github.io/Logging_0586/tillsyn/A 49427-2019 tillsynsbegäran.docx", "A 49427-2019")</f>
        <v/>
      </c>
      <c r="Y9">
        <f>HYPERLINK("https://klasma.github.io/Logging_0586/tillsynsmail/A 49427-2019 tillsynsbegäran mail.docx", "A 49427-2019")</f>
        <v/>
      </c>
    </row>
    <row r="10" ht="15" customHeight="1">
      <c r="A10" t="inlineStr">
        <is>
          <t>A 31912-2020</t>
        </is>
      </c>
      <c r="B10" s="1" t="n">
        <v>44014</v>
      </c>
      <c r="C10" s="1" t="n">
        <v>45355</v>
      </c>
      <c r="D10" t="inlineStr">
        <is>
          <t>ÖSTERGÖTLANDS LÄN</t>
        </is>
      </c>
      <c r="E10" t="inlineStr">
        <is>
          <t>MJÖLBY</t>
        </is>
      </c>
      <c r="G10" t="n">
        <v>14.2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Underviol</t>
        </is>
      </c>
      <c r="S10">
        <f>HYPERLINK("https://klasma.github.io/Logging_0586/artfynd/A 31912-2020 artfynd.xlsx", "A 31912-2020")</f>
        <v/>
      </c>
      <c r="T10">
        <f>HYPERLINK("https://klasma.github.io/Logging_0586/kartor/A 31912-2020 karta.png", "A 31912-2020")</f>
        <v/>
      </c>
      <c r="V10">
        <f>HYPERLINK("https://klasma.github.io/Logging_0586/klagomål/A 31912-2020 FSC-klagomål.docx", "A 31912-2020")</f>
        <v/>
      </c>
      <c r="W10">
        <f>HYPERLINK("https://klasma.github.io/Logging_0586/klagomålsmail/A 31912-2020 FSC-klagomål mail.docx", "A 31912-2020")</f>
        <v/>
      </c>
      <c r="X10">
        <f>HYPERLINK("https://klasma.github.io/Logging_0586/tillsyn/A 31912-2020 tillsynsbegäran.docx", "A 31912-2020")</f>
        <v/>
      </c>
      <c r="Y10">
        <f>HYPERLINK("https://klasma.github.io/Logging_0586/tillsynsmail/A 31912-2020 tillsynsbegäran mail.docx", "A 31912-2020")</f>
        <v/>
      </c>
    </row>
    <row r="11" ht="15" customHeight="1">
      <c r="A11" t="inlineStr">
        <is>
          <t>A 46180-2022</t>
        </is>
      </c>
      <c r="B11" s="1" t="n">
        <v>44847</v>
      </c>
      <c r="C11" s="1" t="n">
        <v>45355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HYPERLINK("https://klasma.github.io/Logging_0586/artfynd/A 46180-2022 artfynd.xlsx", "A 46180-2022")</f>
        <v/>
      </c>
      <c r="T11">
        <f>HYPERLINK("https://klasma.github.io/Logging_0586/kartor/A 46180-2022 karta.png", "A 46180-2022")</f>
        <v/>
      </c>
      <c r="V11">
        <f>HYPERLINK("https://klasma.github.io/Logging_0586/klagomål/A 46180-2022 FSC-klagomål.docx", "A 46180-2022")</f>
        <v/>
      </c>
      <c r="W11">
        <f>HYPERLINK("https://klasma.github.io/Logging_0586/klagomålsmail/A 46180-2022 FSC-klagomål mail.docx", "A 46180-2022")</f>
        <v/>
      </c>
      <c r="X11">
        <f>HYPERLINK("https://klasma.github.io/Logging_0586/tillsyn/A 46180-2022 tillsynsbegäran.docx", "A 46180-2022")</f>
        <v/>
      </c>
      <c r="Y11">
        <f>HYPERLINK("https://klasma.github.io/Logging_0586/tillsynsmail/A 46180-2022 tillsynsbegäran mail.docx", "A 46180-2022")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45355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55362-2022</t>
        </is>
      </c>
      <c r="B13" s="1" t="n">
        <v>44887</v>
      </c>
      <c r="C13" s="1" t="n">
        <v>45355</v>
      </c>
      <c r="D13" t="inlineStr">
        <is>
          <t>ÖSTERGÖTLANDS LÄN</t>
        </is>
      </c>
      <c r="E13" t="inlineStr">
        <is>
          <t>MJÖLBY</t>
        </is>
      </c>
      <c r="F13" t="inlineStr">
        <is>
          <t>Övriga Aktiebolag</t>
        </is>
      </c>
      <c r="G13" t="n">
        <v>7.2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55362-2022 artfynd.xlsx", "A 55362-2022")</f>
        <v/>
      </c>
      <c r="T13">
        <f>HYPERLINK("https://klasma.github.io/Logging_0586/kartor/A 55362-2022 karta.png", "A 55362-2022")</f>
        <v/>
      </c>
      <c r="V13">
        <f>HYPERLINK("https://klasma.github.io/Logging_0586/klagomål/A 55362-2022 FSC-klagomål.docx", "A 55362-2022")</f>
        <v/>
      </c>
      <c r="W13">
        <f>HYPERLINK("https://klasma.github.io/Logging_0586/klagomålsmail/A 55362-2022 FSC-klagomål mail.docx", "A 55362-2022")</f>
        <v/>
      </c>
      <c r="X13">
        <f>HYPERLINK("https://klasma.github.io/Logging_0586/tillsyn/A 55362-2022 tillsynsbegäran.docx", "A 55362-2022")</f>
        <v/>
      </c>
      <c r="Y13">
        <f>HYPERLINK("https://klasma.github.io/Logging_0586/tillsynsmail/A 55362-2022 tillsynsbegäran mail.docx", "A 55362-2022")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45355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62571-2023</t>
        </is>
      </c>
      <c r="B15" s="1" t="n">
        <v>45269</v>
      </c>
      <c r="C15" s="1" t="n">
        <v>45355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62571-2023 artfynd.xlsx", "A 62571-2023")</f>
        <v/>
      </c>
      <c r="T15">
        <f>HYPERLINK("https://klasma.github.io/Logging_0586/kartor/A 62571-2023 karta.png", "A 62571-2023")</f>
        <v/>
      </c>
      <c r="V15">
        <f>HYPERLINK("https://klasma.github.io/Logging_0586/klagomål/A 62571-2023 FSC-klagomål.docx", "A 62571-2023")</f>
        <v/>
      </c>
      <c r="W15">
        <f>HYPERLINK("https://klasma.github.io/Logging_0586/klagomålsmail/A 62571-2023 FSC-klagomål mail.docx", "A 62571-2023")</f>
        <v/>
      </c>
      <c r="X15">
        <f>HYPERLINK("https://klasma.github.io/Logging_0586/tillsyn/A 62571-2023 tillsynsbegäran.docx", "A 62571-2023")</f>
        <v/>
      </c>
      <c r="Y15">
        <f>HYPERLINK("https://klasma.github.io/Logging_0586/tillsynsmail/A 62571-2023 tillsynsbegäran mail.docx", "A 62571-2023")</f>
        <v/>
      </c>
    </row>
    <row r="16" ht="15" customHeight="1">
      <c r="A16" t="inlineStr">
        <is>
          <t>A 41489-2018</t>
        </is>
      </c>
      <c r="B16" s="1" t="n">
        <v>43347</v>
      </c>
      <c r="C16" s="1" t="n">
        <v>45355</v>
      </c>
      <c r="D16" t="inlineStr">
        <is>
          <t>ÖSTERGÖTLANDS LÄN</t>
        </is>
      </c>
      <c r="E16" t="inlineStr">
        <is>
          <t>MJÖLBY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43646-2018</t>
        </is>
      </c>
      <c r="B17" s="1" t="n">
        <v>43357</v>
      </c>
      <c r="C17" s="1" t="n">
        <v>45355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43654-2018</t>
        </is>
      </c>
      <c r="B18" s="1" t="n">
        <v>43357</v>
      </c>
      <c r="C18" s="1" t="n">
        <v>45355</v>
      </c>
      <c r="D18" t="inlineStr">
        <is>
          <t>ÖSTERGÖTLANDS LÄN</t>
        </is>
      </c>
      <c r="E18" t="inlineStr">
        <is>
          <t>MJÖLBY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44071-2018</t>
        </is>
      </c>
      <c r="B19" s="1" t="n">
        <v>43360</v>
      </c>
      <c r="C19" s="1" t="n">
        <v>45355</v>
      </c>
      <c r="D19" t="inlineStr">
        <is>
          <t>ÖSTERGÖTLANDS LÄN</t>
        </is>
      </c>
      <c r="E19" t="inlineStr">
        <is>
          <t>MJÖLBY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44083-2018</t>
        </is>
      </c>
      <c r="B20" s="1" t="n">
        <v>43360</v>
      </c>
      <c r="C20" s="1" t="n">
        <v>45355</v>
      </c>
      <c r="D20" t="inlineStr">
        <is>
          <t>ÖSTERGÖTLANDS LÄN</t>
        </is>
      </c>
      <c r="E20" t="inlineStr">
        <is>
          <t>MJÖLBY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44946-2018</t>
        </is>
      </c>
      <c r="B21" s="1" t="n">
        <v>43362</v>
      </c>
      <c r="C21" s="1" t="n">
        <v>45355</v>
      </c>
      <c r="D21" t="inlineStr">
        <is>
          <t>ÖSTERGÖTLANDS LÄN</t>
        </is>
      </c>
      <c r="E21" t="inlineStr">
        <is>
          <t>MJÖLBY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48147-2018</t>
        </is>
      </c>
      <c r="B22" s="1" t="n">
        <v>43371</v>
      </c>
      <c r="C22" s="1" t="n">
        <v>45355</v>
      </c>
      <c r="D22" t="inlineStr">
        <is>
          <t>ÖSTERGÖTLANDS LÄN</t>
        </is>
      </c>
      <c r="E22" t="inlineStr">
        <is>
          <t>MJÖLBY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50383-2018</t>
        </is>
      </c>
      <c r="B23" s="1" t="n">
        <v>43378</v>
      </c>
      <c r="C23" s="1" t="n">
        <v>45355</v>
      </c>
      <c r="D23" t="inlineStr">
        <is>
          <t>ÖSTERGÖTLANDS LÄN</t>
        </is>
      </c>
      <c r="E23" t="inlineStr">
        <is>
          <t>MJÖLBY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57876-2018</t>
        </is>
      </c>
      <c r="B24" s="1" t="n">
        <v>43398</v>
      </c>
      <c r="C24" s="1" t="n">
        <v>45355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58494-2018</t>
        </is>
      </c>
      <c r="B25" s="1" t="n">
        <v>43399</v>
      </c>
      <c r="C25" s="1" t="n">
        <v>45355</v>
      </c>
      <c r="D25" t="inlineStr">
        <is>
          <t>ÖSTERGÖTLANDS LÄN</t>
        </is>
      </c>
      <c r="E25" t="inlineStr">
        <is>
          <t>MJÖLBY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63426-2018</t>
        </is>
      </c>
      <c r="B26" s="1" t="n">
        <v>43427</v>
      </c>
      <c r="C26" s="1" t="n">
        <v>45355</v>
      </c>
      <c r="D26" t="inlineStr">
        <is>
          <t>ÖSTERGÖTLANDS LÄN</t>
        </is>
      </c>
      <c r="E26" t="inlineStr">
        <is>
          <t>MJÖLBY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66779-2018</t>
        </is>
      </c>
      <c r="B27" s="1" t="n">
        <v>43437</v>
      </c>
      <c r="C27" s="1" t="n">
        <v>45355</v>
      </c>
      <c r="D27" t="inlineStr">
        <is>
          <t>ÖSTERGÖTLANDS LÄN</t>
        </is>
      </c>
      <c r="E27" t="inlineStr">
        <is>
          <t>MJÖLBY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69437-2018</t>
        </is>
      </c>
      <c r="B28" s="1" t="n">
        <v>43446</v>
      </c>
      <c r="C28" s="1" t="n">
        <v>45355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70439-2018</t>
        </is>
      </c>
      <c r="B29" s="1" t="n">
        <v>43447</v>
      </c>
      <c r="C29" s="1" t="n">
        <v>45355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70570-2018</t>
        </is>
      </c>
      <c r="B30" s="1" t="n">
        <v>43451</v>
      </c>
      <c r="C30" s="1" t="n">
        <v>45355</v>
      </c>
      <c r="D30" t="inlineStr">
        <is>
          <t>ÖSTERGÖTLANDS LÄN</t>
        </is>
      </c>
      <c r="E30" t="inlineStr">
        <is>
          <t>MJÖLBY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70586-2018</t>
        </is>
      </c>
      <c r="B31" s="1" t="n">
        <v>43451</v>
      </c>
      <c r="C31" s="1" t="n">
        <v>45355</v>
      </c>
      <c r="D31" t="inlineStr">
        <is>
          <t>ÖSTERGÖTLANDS LÄN</t>
        </is>
      </c>
      <c r="E31" t="inlineStr">
        <is>
          <t>MJÖLBY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70765-2018</t>
        </is>
      </c>
      <c r="B32" s="1" t="n">
        <v>43451</v>
      </c>
      <c r="C32" s="1" t="n">
        <v>45355</v>
      </c>
      <c r="D32" t="inlineStr">
        <is>
          <t>ÖSTERGÖTLANDS LÄN</t>
        </is>
      </c>
      <c r="E32" t="inlineStr">
        <is>
          <t>MJÖLBY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499-2019</t>
        </is>
      </c>
      <c r="B33" s="1" t="n">
        <v>43455</v>
      </c>
      <c r="C33" s="1" t="n">
        <v>45355</v>
      </c>
      <c r="D33" t="inlineStr">
        <is>
          <t>ÖSTERGÖTLANDS LÄN</t>
        </is>
      </c>
      <c r="E33" t="inlineStr">
        <is>
          <t>MJÖLBY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5424-2019</t>
        </is>
      </c>
      <c r="B34" s="1" t="n">
        <v>43489</v>
      </c>
      <c r="C34" s="1" t="n">
        <v>45355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6741-2019</t>
        </is>
      </c>
      <c r="B35" s="1" t="n">
        <v>43494</v>
      </c>
      <c r="C35" s="1" t="n">
        <v>45355</v>
      </c>
      <c r="D35" t="inlineStr">
        <is>
          <t>ÖSTERGÖTLANDS LÄN</t>
        </is>
      </c>
      <c r="E35" t="inlineStr">
        <is>
          <t>MJÖLBY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7149-2019</t>
        </is>
      </c>
      <c r="B36" s="1" t="n">
        <v>43496</v>
      </c>
      <c r="C36" s="1" t="n">
        <v>45355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7183-2019</t>
        </is>
      </c>
      <c r="B37" s="1" t="n">
        <v>43496</v>
      </c>
      <c r="C37" s="1" t="n">
        <v>45355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8812-2019</t>
        </is>
      </c>
      <c r="B38" s="1" t="n">
        <v>43503</v>
      </c>
      <c r="C38" s="1" t="n">
        <v>45355</v>
      </c>
      <c r="D38" t="inlineStr">
        <is>
          <t>ÖSTERGÖTLANDS LÄN</t>
        </is>
      </c>
      <c r="E38" t="inlineStr">
        <is>
          <t>MJÖLBY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8897-2019</t>
        </is>
      </c>
      <c r="B39" s="1" t="n">
        <v>43503</v>
      </c>
      <c r="C39" s="1" t="n">
        <v>45355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9127-2019</t>
        </is>
      </c>
      <c r="B40" s="1" t="n">
        <v>43504</v>
      </c>
      <c r="C40" s="1" t="n">
        <v>45355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15394-2019</t>
        </is>
      </c>
      <c r="B41" s="1" t="n">
        <v>43542</v>
      </c>
      <c r="C41" s="1" t="n">
        <v>45355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16075-2019</t>
        </is>
      </c>
      <c r="B42" s="1" t="n">
        <v>43544</v>
      </c>
      <c r="C42" s="1" t="n">
        <v>45355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20455-2019</t>
        </is>
      </c>
      <c r="B43" s="1" t="n">
        <v>43572</v>
      </c>
      <c r="C43" s="1" t="n">
        <v>45355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20782-2019</t>
        </is>
      </c>
      <c r="B44" s="1" t="n">
        <v>43573</v>
      </c>
      <c r="C44" s="1" t="n">
        <v>45355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24104-2019</t>
        </is>
      </c>
      <c r="B45" s="1" t="n">
        <v>43598</v>
      </c>
      <c r="C45" s="1" t="n">
        <v>45355</v>
      </c>
      <c r="D45" t="inlineStr">
        <is>
          <t>ÖSTERGÖTLANDS LÄN</t>
        </is>
      </c>
      <c r="E45" t="inlineStr">
        <is>
          <t>MJÖLBY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24239-2019</t>
        </is>
      </c>
      <c r="B46" s="1" t="n">
        <v>43599</v>
      </c>
      <c r="C46" s="1" t="n">
        <v>45355</v>
      </c>
      <c r="D46" t="inlineStr">
        <is>
          <t>ÖSTERGÖTLANDS LÄN</t>
        </is>
      </c>
      <c r="E46" t="inlineStr">
        <is>
          <t>MJÖLBY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26346-2019</t>
        </is>
      </c>
      <c r="B47" s="1" t="n">
        <v>43606</v>
      </c>
      <c r="C47" s="1" t="n">
        <v>45355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26969-2019</t>
        </is>
      </c>
      <c r="B48" s="1" t="n">
        <v>43614</v>
      </c>
      <c r="C48" s="1" t="n">
        <v>45355</v>
      </c>
      <c r="D48" t="inlineStr">
        <is>
          <t>ÖSTERGÖTLANDS LÄN</t>
        </is>
      </c>
      <c r="E48" t="inlineStr">
        <is>
          <t>MJÖLBY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28893-2019</t>
        </is>
      </c>
      <c r="B49" s="1" t="n">
        <v>43616</v>
      </c>
      <c r="C49" s="1" t="n">
        <v>45355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30866-2019</t>
        </is>
      </c>
      <c r="B50" s="1" t="n">
        <v>43636</v>
      </c>
      <c r="C50" s="1" t="n">
        <v>45355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31347-2019</t>
        </is>
      </c>
      <c r="B51" s="1" t="n">
        <v>43641</v>
      </c>
      <c r="C51" s="1" t="n">
        <v>45355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32174-2019</t>
        </is>
      </c>
      <c r="B52" s="1" t="n">
        <v>43643</v>
      </c>
      <c r="C52" s="1" t="n">
        <v>45355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32407-2019</t>
        </is>
      </c>
      <c r="B53" s="1" t="n">
        <v>43644</v>
      </c>
      <c r="C53" s="1" t="n">
        <v>45355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32435-2019</t>
        </is>
      </c>
      <c r="B54" s="1" t="n">
        <v>43644</v>
      </c>
      <c r="C54" s="1" t="n">
        <v>45355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34812-2019</t>
        </is>
      </c>
      <c r="B55" s="1" t="n">
        <v>43649</v>
      </c>
      <c r="C55" s="1" t="n">
        <v>45355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36938-2019</t>
        </is>
      </c>
      <c r="B56" s="1" t="n">
        <v>43675</v>
      </c>
      <c r="C56" s="1" t="n">
        <v>45355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42699-2019</t>
        </is>
      </c>
      <c r="B57" s="1" t="n">
        <v>43704</v>
      </c>
      <c r="C57" s="1" t="n">
        <v>45355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44550-2019</t>
        </is>
      </c>
      <c r="B58" s="1" t="n">
        <v>43711</v>
      </c>
      <c r="C58" s="1" t="n">
        <v>45355</v>
      </c>
      <c r="D58" t="inlineStr">
        <is>
          <t>ÖSTERGÖTLANDS LÄN</t>
        </is>
      </c>
      <c r="E58" t="inlineStr">
        <is>
          <t>MJÖLBY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45208-2019</t>
        </is>
      </c>
      <c r="B59" s="1" t="n">
        <v>43713</v>
      </c>
      <c r="C59" s="1" t="n">
        <v>45355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45900-2019</t>
        </is>
      </c>
      <c r="B60" s="1" t="n">
        <v>43717</v>
      </c>
      <c r="C60" s="1" t="n">
        <v>45355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49420-2019</t>
        </is>
      </c>
      <c r="B61" s="1" t="n">
        <v>43732</v>
      </c>
      <c r="C61" s="1" t="n">
        <v>45355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50106-2019</t>
        </is>
      </c>
      <c r="B62" s="1" t="n">
        <v>43734</v>
      </c>
      <c r="C62" s="1" t="n">
        <v>45355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50103-2019</t>
        </is>
      </c>
      <c r="B63" s="1" t="n">
        <v>43734</v>
      </c>
      <c r="C63" s="1" t="n">
        <v>45355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56933-2019</t>
        </is>
      </c>
      <c r="B64" s="1" t="n">
        <v>43763</v>
      </c>
      <c r="C64" s="1" t="n">
        <v>45355</v>
      </c>
      <c r="D64" t="inlineStr">
        <is>
          <t>ÖSTERGÖTLANDS LÄN</t>
        </is>
      </c>
      <c r="E64" t="inlineStr">
        <is>
          <t>MJÖLBY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57021-2019</t>
        </is>
      </c>
      <c r="B65" s="1" t="n">
        <v>43766</v>
      </c>
      <c r="C65" s="1" t="n">
        <v>45355</v>
      </c>
      <c r="D65" t="inlineStr">
        <is>
          <t>ÖSTERGÖTLANDS LÄN</t>
        </is>
      </c>
      <c r="E65" t="inlineStr">
        <is>
          <t>MJÖLBY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58229-2019</t>
        </is>
      </c>
      <c r="B66" s="1" t="n">
        <v>43770</v>
      </c>
      <c r="C66" s="1" t="n">
        <v>45355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58487-2019</t>
        </is>
      </c>
      <c r="B67" s="1" t="n">
        <v>43773</v>
      </c>
      <c r="C67" s="1" t="n">
        <v>45355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60354-2019</t>
        </is>
      </c>
      <c r="B68" s="1" t="n">
        <v>43780</v>
      </c>
      <c r="C68" s="1" t="n">
        <v>45355</v>
      </c>
      <c r="D68" t="inlineStr">
        <is>
          <t>ÖSTERGÖTLANDS LÄN</t>
        </is>
      </c>
      <c r="E68" t="inlineStr">
        <is>
          <t>MJÖLBY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62383-2019</t>
        </is>
      </c>
      <c r="B69" s="1" t="n">
        <v>43782</v>
      </c>
      <c r="C69" s="1" t="n">
        <v>45355</v>
      </c>
      <c r="D69" t="inlineStr">
        <is>
          <t>ÖSTERGÖTLANDS LÄN</t>
        </is>
      </c>
      <c r="E69" t="inlineStr">
        <is>
          <t>MJÖLBY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61292-2019</t>
        </is>
      </c>
      <c r="B70" s="1" t="n">
        <v>43783</v>
      </c>
      <c r="C70" s="1" t="n">
        <v>45355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62788-2019</t>
        </is>
      </c>
      <c r="B71" s="1" t="n">
        <v>43790</v>
      </c>
      <c r="C71" s="1" t="n">
        <v>45355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63055-2019</t>
        </is>
      </c>
      <c r="B72" s="1" t="n">
        <v>43791</v>
      </c>
      <c r="C72" s="1" t="n">
        <v>45355</v>
      </c>
      <c r="D72" t="inlineStr">
        <is>
          <t>ÖSTERGÖTLANDS LÄN</t>
        </is>
      </c>
      <c r="E72" t="inlineStr">
        <is>
          <t>MJÖLBY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63738-2019</t>
        </is>
      </c>
      <c r="B73" s="1" t="n">
        <v>43795</v>
      </c>
      <c r="C73" s="1" t="n">
        <v>45355</v>
      </c>
      <c r="D73" t="inlineStr">
        <is>
          <t>ÖSTERGÖTLANDS LÄN</t>
        </is>
      </c>
      <c r="E73" t="inlineStr">
        <is>
          <t>MJÖLBY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63929-2019</t>
        </is>
      </c>
      <c r="B74" s="1" t="n">
        <v>43796</v>
      </c>
      <c r="C74" s="1" t="n">
        <v>45355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63931-2019</t>
        </is>
      </c>
      <c r="B75" s="1" t="n">
        <v>43796</v>
      </c>
      <c r="C75" s="1" t="n">
        <v>45355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65656-2019</t>
        </is>
      </c>
      <c r="B76" s="1" t="n">
        <v>43804</v>
      </c>
      <c r="C76" s="1" t="n">
        <v>45355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67621-2019</t>
        </is>
      </c>
      <c r="B77" s="1" t="n">
        <v>43815</v>
      </c>
      <c r="C77" s="1" t="n">
        <v>45355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1985-2020</t>
        </is>
      </c>
      <c r="B78" s="1" t="n">
        <v>43838</v>
      </c>
      <c r="C78" s="1" t="n">
        <v>45355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4133-2020</t>
        </is>
      </c>
      <c r="B79" s="1" t="n">
        <v>43857</v>
      </c>
      <c r="C79" s="1" t="n">
        <v>45355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4176-2020</t>
        </is>
      </c>
      <c r="B80" s="1" t="n">
        <v>43857</v>
      </c>
      <c r="C80" s="1" t="n">
        <v>45355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4091-2020</t>
        </is>
      </c>
      <c r="B81" s="1" t="n">
        <v>43857</v>
      </c>
      <c r="C81" s="1" t="n">
        <v>45355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7429-2020</t>
        </is>
      </c>
      <c r="B82" s="1" t="n">
        <v>43871</v>
      </c>
      <c r="C82" s="1" t="n">
        <v>45355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7438-2020</t>
        </is>
      </c>
      <c r="B83" s="1" t="n">
        <v>43871</v>
      </c>
      <c r="C83" s="1" t="n">
        <v>45355</v>
      </c>
      <c r="D83" t="inlineStr">
        <is>
          <t>ÖSTERGÖTLANDS LÄN</t>
        </is>
      </c>
      <c r="E83" t="inlineStr">
        <is>
          <t>MJÖLBY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8324-2020</t>
        </is>
      </c>
      <c r="B84" s="1" t="n">
        <v>43875</v>
      </c>
      <c r="C84" s="1" t="n">
        <v>45355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9478-2020</t>
        </is>
      </c>
      <c r="B85" s="1" t="n">
        <v>43880</v>
      </c>
      <c r="C85" s="1" t="n">
        <v>45355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10371-2020</t>
        </is>
      </c>
      <c r="B86" s="1" t="n">
        <v>43885</v>
      </c>
      <c r="C86" s="1" t="n">
        <v>45355</v>
      </c>
      <c r="D86" t="inlineStr">
        <is>
          <t>ÖSTERGÖTLANDS LÄN</t>
        </is>
      </c>
      <c r="E86" t="inlineStr">
        <is>
          <t>MJÖLBY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10597-2020</t>
        </is>
      </c>
      <c r="B87" s="1" t="n">
        <v>43887</v>
      </c>
      <c r="C87" s="1" t="n">
        <v>45355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12640-2020</t>
        </is>
      </c>
      <c r="B88" s="1" t="n">
        <v>43899</v>
      </c>
      <c r="C88" s="1" t="n">
        <v>45355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17294-2020</t>
        </is>
      </c>
      <c r="B89" s="1" t="n">
        <v>43922</v>
      </c>
      <c r="C89" s="1" t="n">
        <v>45355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18220-2020</t>
        </is>
      </c>
      <c r="B90" s="1" t="n">
        <v>43928</v>
      </c>
      <c r="C90" s="1" t="n">
        <v>45355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18571-2020</t>
        </is>
      </c>
      <c r="B91" s="1" t="n">
        <v>43929</v>
      </c>
      <c r="C91" s="1" t="n">
        <v>45355</v>
      </c>
      <c r="D91" t="inlineStr">
        <is>
          <t>ÖSTERGÖTLANDS LÄN</t>
        </is>
      </c>
      <c r="E91" t="inlineStr">
        <is>
          <t>MJÖLBY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18873-2020</t>
        </is>
      </c>
      <c r="B92" s="1" t="n">
        <v>43935</v>
      </c>
      <c r="C92" s="1" t="n">
        <v>45355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18974-2020</t>
        </is>
      </c>
      <c r="B93" s="1" t="n">
        <v>43935</v>
      </c>
      <c r="C93" s="1" t="n">
        <v>45355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19854-2020</t>
        </is>
      </c>
      <c r="B94" s="1" t="n">
        <v>43942</v>
      </c>
      <c r="C94" s="1" t="n">
        <v>45355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21614-2020</t>
        </is>
      </c>
      <c r="B95" s="1" t="n">
        <v>43957</v>
      </c>
      <c r="C95" s="1" t="n">
        <v>45355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22366-2020</t>
        </is>
      </c>
      <c r="B96" s="1" t="n">
        <v>43957</v>
      </c>
      <c r="C96" s="1" t="n">
        <v>45355</v>
      </c>
      <c r="D96" t="inlineStr">
        <is>
          <t>ÖSTERGÖTLANDS LÄN</t>
        </is>
      </c>
      <c r="E96" t="inlineStr">
        <is>
          <t>MJÖLBY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23910-2020</t>
        </is>
      </c>
      <c r="B97" s="1" t="n">
        <v>43971</v>
      </c>
      <c r="C97" s="1" t="n">
        <v>45355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24564-2020</t>
        </is>
      </c>
      <c r="B98" s="1" t="n">
        <v>43977</v>
      </c>
      <c r="C98" s="1" t="n">
        <v>45355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26134-2020</t>
        </is>
      </c>
      <c r="B99" s="1" t="n">
        <v>43985</v>
      </c>
      <c r="C99" s="1" t="n">
        <v>45355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26093-2020</t>
        </is>
      </c>
      <c r="B100" s="1" t="n">
        <v>43985</v>
      </c>
      <c r="C100" s="1" t="n">
        <v>45355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26136-2020</t>
        </is>
      </c>
      <c r="B101" s="1" t="n">
        <v>43985</v>
      </c>
      <c r="C101" s="1" t="n">
        <v>45355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26083-2020</t>
        </is>
      </c>
      <c r="B102" s="1" t="n">
        <v>43985</v>
      </c>
      <c r="C102" s="1" t="n">
        <v>45355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27715-2020</t>
        </is>
      </c>
      <c r="B103" s="1" t="n">
        <v>43994</v>
      </c>
      <c r="C103" s="1" t="n">
        <v>45355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29878-2020</t>
        </is>
      </c>
      <c r="B104" s="1" t="n">
        <v>44006</v>
      </c>
      <c r="C104" s="1" t="n">
        <v>45355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31903-2020</t>
        </is>
      </c>
      <c r="B105" s="1" t="n">
        <v>44014</v>
      </c>
      <c r="C105" s="1" t="n">
        <v>45355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31906-2020</t>
        </is>
      </c>
      <c r="B106" s="1" t="n">
        <v>44014</v>
      </c>
      <c r="C106" s="1" t="n">
        <v>45355</v>
      </c>
      <c r="D106" t="inlineStr">
        <is>
          <t>ÖSTERGÖTLANDS LÄN</t>
        </is>
      </c>
      <c r="E106" t="inlineStr">
        <is>
          <t>MJÖLBY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32159-2020</t>
        </is>
      </c>
      <c r="B107" s="1" t="n">
        <v>44015</v>
      </c>
      <c r="C107" s="1" t="n">
        <v>45355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33590-2020</t>
        </is>
      </c>
      <c r="B108" s="1" t="n">
        <v>44025</v>
      </c>
      <c r="C108" s="1" t="n">
        <v>45355</v>
      </c>
      <c r="D108" t="inlineStr">
        <is>
          <t>ÖSTERGÖTLANDS LÄN</t>
        </is>
      </c>
      <c r="E108" t="inlineStr">
        <is>
          <t>MJÖLBY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38335-2020</t>
        </is>
      </c>
      <c r="B109" s="1" t="n">
        <v>44060</v>
      </c>
      <c r="C109" s="1" t="n">
        <v>45355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38528-2020</t>
        </is>
      </c>
      <c r="B110" s="1" t="n">
        <v>44061</v>
      </c>
      <c r="C110" s="1" t="n">
        <v>45355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40300-2020</t>
        </is>
      </c>
      <c r="B111" s="1" t="n">
        <v>44068</v>
      </c>
      <c r="C111" s="1" t="n">
        <v>45355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41042-2020</t>
        </is>
      </c>
      <c r="B112" s="1" t="n">
        <v>44071</v>
      </c>
      <c r="C112" s="1" t="n">
        <v>45355</v>
      </c>
      <c r="D112" t="inlineStr">
        <is>
          <t>ÖSTERGÖTLANDS LÄN</t>
        </is>
      </c>
      <c r="E112" t="inlineStr">
        <is>
          <t>MJÖLBY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42218-2020</t>
        </is>
      </c>
      <c r="B113" s="1" t="n">
        <v>44076</v>
      </c>
      <c r="C113" s="1" t="n">
        <v>45355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42722-2020</t>
        </is>
      </c>
      <c r="B114" s="1" t="n">
        <v>44077</v>
      </c>
      <c r="C114" s="1" t="n">
        <v>45355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43256-2020</t>
        </is>
      </c>
      <c r="B115" s="1" t="n">
        <v>44081</v>
      </c>
      <c r="C115" s="1" t="n">
        <v>45355</v>
      </c>
      <c r="D115" t="inlineStr">
        <is>
          <t>ÖSTERGÖTLANDS LÄN</t>
        </is>
      </c>
      <c r="E115" t="inlineStr">
        <is>
          <t>MJÖLBY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46038-2020</t>
        </is>
      </c>
      <c r="B116" s="1" t="n">
        <v>44091</v>
      </c>
      <c r="C116" s="1" t="n">
        <v>45355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48510-2020</t>
        </is>
      </c>
      <c r="B117" s="1" t="n">
        <v>44103</v>
      </c>
      <c r="C117" s="1" t="n">
        <v>45355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49039-2020</t>
        </is>
      </c>
      <c r="B118" s="1" t="n">
        <v>44104</v>
      </c>
      <c r="C118" s="1" t="n">
        <v>45355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52755-2020</t>
        </is>
      </c>
      <c r="B119" s="1" t="n">
        <v>44119</v>
      </c>
      <c r="C119" s="1" t="n">
        <v>45355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55161-2020</t>
        </is>
      </c>
      <c r="B120" s="1" t="n">
        <v>44130</v>
      </c>
      <c r="C120" s="1" t="n">
        <v>45355</v>
      </c>
      <c r="D120" t="inlineStr">
        <is>
          <t>ÖSTERGÖTLANDS LÄN</t>
        </is>
      </c>
      <c r="E120" t="inlineStr">
        <is>
          <t>MJÖLBY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55244-2020</t>
        </is>
      </c>
      <c r="B121" s="1" t="n">
        <v>44130</v>
      </c>
      <c r="C121" s="1" t="n">
        <v>45355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55102-2020</t>
        </is>
      </c>
      <c r="B122" s="1" t="n">
        <v>44130</v>
      </c>
      <c r="C122" s="1" t="n">
        <v>45355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60139-2020</t>
        </is>
      </c>
      <c r="B123" s="1" t="n">
        <v>44152</v>
      </c>
      <c r="C123" s="1" t="n">
        <v>45355</v>
      </c>
      <c r="D123" t="inlineStr">
        <is>
          <t>ÖSTERGÖTLANDS LÄN</t>
        </is>
      </c>
      <c r="E123" t="inlineStr">
        <is>
          <t>MJÖLBY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60153-2020</t>
        </is>
      </c>
      <c r="B124" s="1" t="n">
        <v>44152</v>
      </c>
      <c r="C124" s="1" t="n">
        <v>45355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62096-2020</t>
        </is>
      </c>
      <c r="B125" s="1" t="n">
        <v>44159</v>
      </c>
      <c r="C125" s="1" t="n">
        <v>45355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63269-2020</t>
        </is>
      </c>
      <c r="B126" s="1" t="n">
        <v>44164</v>
      </c>
      <c r="C126" s="1" t="n">
        <v>45355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64708-2020</t>
        </is>
      </c>
      <c r="B127" s="1" t="n">
        <v>44167</v>
      </c>
      <c r="C127" s="1" t="n">
        <v>45355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64227-2020</t>
        </is>
      </c>
      <c r="B128" s="1" t="n">
        <v>44168</v>
      </c>
      <c r="C128" s="1" t="n">
        <v>45355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65372-2020</t>
        </is>
      </c>
      <c r="B129" s="1" t="n">
        <v>44173</v>
      </c>
      <c r="C129" s="1" t="n">
        <v>45355</v>
      </c>
      <c r="D129" t="inlineStr">
        <is>
          <t>ÖSTERGÖTLANDS LÄN</t>
        </is>
      </c>
      <c r="E129" t="inlineStr">
        <is>
          <t>MJÖLBY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69128-2020</t>
        </is>
      </c>
      <c r="B130" s="1" t="n">
        <v>44188</v>
      </c>
      <c r="C130" s="1" t="n">
        <v>45355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69570-2020</t>
        </is>
      </c>
      <c r="B131" s="1" t="n">
        <v>44194</v>
      </c>
      <c r="C131" s="1" t="n">
        <v>45355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240-2021</t>
        </is>
      </c>
      <c r="B132" s="1" t="n">
        <v>44200</v>
      </c>
      <c r="C132" s="1" t="n">
        <v>45355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3173-2021</t>
        </is>
      </c>
      <c r="B133" s="1" t="n">
        <v>44216</v>
      </c>
      <c r="C133" s="1" t="n">
        <v>45355</v>
      </c>
      <c r="D133" t="inlineStr">
        <is>
          <t>ÖSTERGÖTLANDS LÄN</t>
        </is>
      </c>
      <c r="E133" t="inlineStr">
        <is>
          <t>MJÖLBY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4740-2021</t>
        </is>
      </c>
      <c r="B134" s="1" t="n">
        <v>44225</v>
      </c>
      <c r="C134" s="1" t="n">
        <v>45355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4971-2021</t>
        </is>
      </c>
      <c r="B135" s="1" t="n">
        <v>44228</v>
      </c>
      <c r="C135" s="1" t="n">
        <v>45355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5142-2021</t>
        </is>
      </c>
      <c r="B136" s="1" t="n">
        <v>44228</v>
      </c>
      <c r="C136" s="1" t="n">
        <v>45355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5512-2021</t>
        </is>
      </c>
      <c r="B137" s="1" t="n">
        <v>44229</v>
      </c>
      <c r="C137" s="1" t="n">
        <v>45355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6921-2021</t>
        </is>
      </c>
      <c r="B138" s="1" t="n">
        <v>44237</v>
      </c>
      <c r="C138" s="1" t="n">
        <v>45355</v>
      </c>
      <c r="D138" t="inlineStr">
        <is>
          <t>ÖSTERGÖTLANDS LÄN</t>
        </is>
      </c>
      <c r="E138" t="inlineStr">
        <is>
          <t>MJÖLBY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7649-2021</t>
        </is>
      </c>
      <c r="B139" s="1" t="n">
        <v>44242</v>
      </c>
      <c r="C139" s="1" t="n">
        <v>45355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8024-2021</t>
        </is>
      </c>
      <c r="B140" s="1" t="n">
        <v>44243</v>
      </c>
      <c r="C140" s="1" t="n">
        <v>45355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8021-2021</t>
        </is>
      </c>
      <c r="B141" s="1" t="n">
        <v>44243</v>
      </c>
      <c r="C141" s="1" t="n">
        <v>45355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12168-2021</t>
        </is>
      </c>
      <c r="B142" s="1" t="n">
        <v>44266</v>
      </c>
      <c r="C142" s="1" t="n">
        <v>45355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13480-2021</t>
        </is>
      </c>
      <c r="B143" s="1" t="n">
        <v>44273</v>
      </c>
      <c r="C143" s="1" t="n">
        <v>45355</v>
      </c>
      <c r="D143" t="inlineStr">
        <is>
          <t>ÖSTERGÖTLANDS LÄN</t>
        </is>
      </c>
      <c r="E143" t="inlineStr">
        <is>
          <t>MJÖLBY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13488-2021</t>
        </is>
      </c>
      <c r="B144" s="1" t="n">
        <v>44273</v>
      </c>
      <c r="C144" s="1" t="n">
        <v>45355</v>
      </c>
      <c r="D144" t="inlineStr">
        <is>
          <t>ÖSTERGÖTLANDS LÄN</t>
        </is>
      </c>
      <c r="E144" t="inlineStr">
        <is>
          <t>MJÖLBY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14679-2021</t>
        </is>
      </c>
      <c r="B145" s="1" t="n">
        <v>44280</v>
      </c>
      <c r="C145" s="1" t="n">
        <v>45355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17797-2021</t>
        </is>
      </c>
      <c r="B146" s="1" t="n">
        <v>44300</v>
      </c>
      <c r="C146" s="1" t="n">
        <v>45355</v>
      </c>
      <c r="D146" t="inlineStr">
        <is>
          <t>ÖSTERGÖTLANDS LÄN</t>
        </is>
      </c>
      <c r="E146" t="inlineStr">
        <is>
          <t>MJÖLBY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20935-2021</t>
        </is>
      </c>
      <c r="B147" s="1" t="n">
        <v>44319</v>
      </c>
      <c r="C147" s="1" t="n">
        <v>45355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23959-2021</t>
        </is>
      </c>
      <c r="B148" s="1" t="n">
        <v>44335</v>
      </c>
      <c r="C148" s="1" t="n">
        <v>45355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26581-2021</t>
        </is>
      </c>
      <c r="B149" s="1" t="n">
        <v>44348</v>
      </c>
      <c r="C149" s="1" t="n">
        <v>45355</v>
      </c>
      <c r="D149" t="inlineStr">
        <is>
          <t>ÖSTERGÖTLANDS LÄN</t>
        </is>
      </c>
      <c r="E149" t="inlineStr">
        <is>
          <t>MJÖLBY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45355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26695-2021</t>
        </is>
      </c>
      <c r="B151" s="1" t="n">
        <v>44348</v>
      </c>
      <c r="C151" s="1" t="n">
        <v>45355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30636-2021</t>
        </is>
      </c>
      <c r="B152" s="1" t="n">
        <v>44365</v>
      </c>
      <c r="C152" s="1" t="n">
        <v>45355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30639-2021</t>
        </is>
      </c>
      <c r="B153" s="1" t="n">
        <v>44365</v>
      </c>
      <c r="C153" s="1" t="n">
        <v>45355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30751-2021</t>
        </is>
      </c>
      <c r="B154" s="1" t="n">
        <v>44365</v>
      </c>
      <c r="C154" s="1" t="n">
        <v>45355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32773-2021</t>
        </is>
      </c>
      <c r="B155" s="1" t="n">
        <v>44375</v>
      </c>
      <c r="C155" s="1" t="n">
        <v>45355</v>
      </c>
      <c r="D155" t="inlineStr">
        <is>
          <t>ÖSTERGÖTLANDS LÄN</t>
        </is>
      </c>
      <c r="E155" t="inlineStr">
        <is>
          <t>MJÖLBY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37214-2021</t>
        </is>
      </c>
      <c r="B156" s="1" t="n">
        <v>44396</v>
      </c>
      <c r="C156" s="1" t="n">
        <v>45355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44468-2021</t>
        </is>
      </c>
      <c r="B157" s="1" t="n">
        <v>44435</v>
      </c>
      <c r="C157" s="1" t="n">
        <v>45355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45733-2021</t>
        </is>
      </c>
      <c r="B158" s="1" t="n">
        <v>44441</v>
      </c>
      <c r="C158" s="1" t="n">
        <v>45355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46240-2021</t>
        </is>
      </c>
      <c r="B159" s="1" t="n">
        <v>44442</v>
      </c>
      <c r="C159" s="1" t="n">
        <v>45355</v>
      </c>
      <c r="D159" t="inlineStr">
        <is>
          <t>ÖSTERGÖTLANDS LÄN</t>
        </is>
      </c>
      <c r="E159" t="inlineStr">
        <is>
          <t>MJÖLBY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48438-2021</t>
        </is>
      </c>
      <c r="B160" s="1" t="n">
        <v>44449</v>
      </c>
      <c r="C160" s="1" t="n">
        <v>45355</v>
      </c>
      <c r="D160" t="inlineStr">
        <is>
          <t>ÖSTERGÖTLANDS LÄN</t>
        </is>
      </c>
      <c r="E160" t="inlineStr">
        <is>
          <t>MJÖLBY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48431-2021</t>
        </is>
      </c>
      <c r="B161" s="1" t="n">
        <v>44449</v>
      </c>
      <c r="C161" s="1" t="n">
        <v>45355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49566-2021</t>
        </is>
      </c>
      <c r="B162" s="1" t="n">
        <v>44455</v>
      </c>
      <c r="C162" s="1" t="n">
        <v>45355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51655-2021</t>
        </is>
      </c>
      <c r="B163" s="1" t="n">
        <v>44462</v>
      </c>
      <c r="C163" s="1" t="n">
        <v>45355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51630-2021</t>
        </is>
      </c>
      <c r="B164" s="1" t="n">
        <v>44462</v>
      </c>
      <c r="C164" s="1" t="n">
        <v>45355</v>
      </c>
      <c r="D164" t="inlineStr">
        <is>
          <t>ÖSTERGÖTLANDS LÄN</t>
        </is>
      </c>
      <c r="E164" t="inlineStr">
        <is>
          <t>MJÖLBY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51642-2021</t>
        </is>
      </c>
      <c r="B165" s="1" t="n">
        <v>44462</v>
      </c>
      <c r="C165" s="1" t="n">
        <v>45355</v>
      </c>
      <c r="D165" t="inlineStr">
        <is>
          <t>ÖSTERGÖTLANDS LÄN</t>
        </is>
      </c>
      <c r="E165" t="inlineStr">
        <is>
          <t>MJÖLBY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51639-2021</t>
        </is>
      </c>
      <c r="B166" s="1" t="n">
        <v>44462</v>
      </c>
      <c r="C166" s="1" t="n">
        <v>45355</v>
      </c>
      <c r="D166" t="inlineStr">
        <is>
          <t>ÖSTERGÖTLANDS LÄN</t>
        </is>
      </c>
      <c r="E166" t="inlineStr">
        <is>
          <t>MJÖLBY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</v>
      </c>
      <c r="C167" s="1" t="n">
        <v>45355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54444-2021</t>
        </is>
      </c>
      <c r="B168" s="1" t="n">
        <v>44473</v>
      </c>
      <c r="C168" s="1" t="n">
        <v>45355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56458-2021</t>
        </is>
      </c>
      <c r="B169" s="1" t="n">
        <v>44480</v>
      </c>
      <c r="C169" s="1" t="n">
        <v>45355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</v>
      </c>
      <c r="C170" s="1" t="n">
        <v>45355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64728-2021</t>
        </is>
      </c>
      <c r="B171" s="1" t="n">
        <v>44512</v>
      </c>
      <c r="C171" s="1" t="n">
        <v>45355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65153-2021</t>
        </is>
      </c>
      <c r="B172" s="1" t="n">
        <v>44515</v>
      </c>
      <c r="C172" s="1" t="n">
        <v>45355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65164-2021</t>
        </is>
      </c>
      <c r="B173" s="1" t="n">
        <v>44515</v>
      </c>
      <c r="C173" s="1" t="n">
        <v>45355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65921-2021</t>
        </is>
      </c>
      <c r="B174" s="1" t="n">
        <v>44517</v>
      </c>
      <c r="C174" s="1" t="n">
        <v>45355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66977-2021</t>
        </is>
      </c>
      <c r="B175" s="1" t="n">
        <v>44522</v>
      </c>
      <c r="C175" s="1" t="n">
        <v>45355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68095-2021</t>
        </is>
      </c>
      <c r="B176" s="1" t="n">
        <v>44526</v>
      </c>
      <c r="C176" s="1" t="n">
        <v>45355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72290-2021</t>
        </is>
      </c>
      <c r="B177" s="1" t="n">
        <v>44545</v>
      </c>
      <c r="C177" s="1" t="n">
        <v>45355</v>
      </c>
      <c r="D177" t="inlineStr">
        <is>
          <t>ÖSTERGÖTLANDS LÄN</t>
        </is>
      </c>
      <c r="E177" t="inlineStr">
        <is>
          <t>MJÖLBY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72560-2021</t>
        </is>
      </c>
      <c r="B178" s="1" t="n">
        <v>44546</v>
      </c>
      <c r="C178" s="1" t="n">
        <v>45355</v>
      </c>
      <c r="D178" t="inlineStr">
        <is>
          <t>ÖSTERGÖTLANDS LÄN</t>
        </is>
      </c>
      <c r="E178" t="inlineStr">
        <is>
          <t>MJÖLBY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72563-2021</t>
        </is>
      </c>
      <c r="B179" s="1" t="n">
        <v>44546</v>
      </c>
      <c r="C179" s="1" t="n">
        <v>45355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72558-2021</t>
        </is>
      </c>
      <c r="B180" s="1" t="n">
        <v>44546</v>
      </c>
      <c r="C180" s="1" t="n">
        <v>45355</v>
      </c>
      <c r="D180" t="inlineStr">
        <is>
          <t>ÖSTERGÖTLANDS LÄN</t>
        </is>
      </c>
      <c r="E180" t="inlineStr">
        <is>
          <t>MJÖLBY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1554-2022</t>
        </is>
      </c>
      <c r="B181" s="1" t="n">
        <v>44573</v>
      </c>
      <c r="C181" s="1" t="n">
        <v>45355</v>
      </c>
      <c r="D181" t="inlineStr">
        <is>
          <t>ÖSTERGÖTLANDS LÄN</t>
        </is>
      </c>
      <c r="E181" t="inlineStr">
        <is>
          <t>MJÖLBY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1552-2022</t>
        </is>
      </c>
      <c r="B182" s="1" t="n">
        <v>44573</v>
      </c>
      <c r="C182" s="1" t="n">
        <v>45355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2715-2022</t>
        </is>
      </c>
      <c r="B183" s="1" t="n">
        <v>44580</v>
      </c>
      <c r="C183" s="1" t="n">
        <v>45355</v>
      </c>
      <c r="D183" t="inlineStr">
        <is>
          <t>ÖSTERGÖTLANDS LÄN</t>
        </is>
      </c>
      <c r="E183" t="inlineStr">
        <is>
          <t>MJÖLBY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5168-2022</t>
        </is>
      </c>
      <c r="B184" s="1" t="n">
        <v>44594</v>
      </c>
      <c r="C184" s="1" t="n">
        <v>45355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5990-2022</t>
        </is>
      </c>
      <c r="B185" s="1" t="n">
        <v>44599</v>
      </c>
      <c r="C185" s="1" t="n">
        <v>45355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</v>
      </c>
      <c r="C186" s="1" t="n">
        <v>45355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9036-2022</t>
        </is>
      </c>
      <c r="B187" s="1" t="n">
        <v>44615</v>
      </c>
      <c r="C187" s="1" t="n">
        <v>45355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9030-2022</t>
        </is>
      </c>
      <c r="B188" s="1" t="n">
        <v>44615</v>
      </c>
      <c r="C188" s="1" t="n">
        <v>45355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9035-2022</t>
        </is>
      </c>
      <c r="B189" s="1" t="n">
        <v>44615</v>
      </c>
      <c r="C189" s="1" t="n">
        <v>45355</v>
      </c>
      <c r="D189" t="inlineStr">
        <is>
          <t>ÖSTERGÖTLANDS LÄN</t>
        </is>
      </c>
      <c r="E189" t="inlineStr">
        <is>
          <t>MJÖLBY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10950-2022</t>
        </is>
      </c>
      <c r="B190" s="1" t="n">
        <v>44627</v>
      </c>
      <c r="C190" s="1" t="n">
        <v>45355</v>
      </c>
      <c r="D190" t="inlineStr">
        <is>
          <t>ÖSTERGÖTLANDS LÄN</t>
        </is>
      </c>
      <c r="E190" t="inlineStr">
        <is>
          <t>MJÖLBY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</v>
      </c>
      <c r="C191" s="1" t="n">
        <v>45355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15276-2022</t>
        </is>
      </c>
      <c r="B192" s="1" t="n">
        <v>44659</v>
      </c>
      <c r="C192" s="1" t="n">
        <v>45355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15284-2022</t>
        </is>
      </c>
      <c r="B193" s="1" t="n">
        <v>44659</v>
      </c>
      <c r="C193" s="1" t="n">
        <v>45355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15783-2022</t>
        </is>
      </c>
      <c r="B194" s="1" t="n">
        <v>44663</v>
      </c>
      <c r="C194" s="1" t="n">
        <v>45355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19352-2022</t>
        </is>
      </c>
      <c r="B195" s="1" t="n">
        <v>44692</v>
      </c>
      <c r="C195" s="1" t="n">
        <v>45355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27751-2022</t>
        </is>
      </c>
      <c r="B196" s="1" t="n">
        <v>44743</v>
      </c>
      <c r="C196" s="1" t="n">
        <v>45355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27745-2022</t>
        </is>
      </c>
      <c r="B197" s="1" t="n">
        <v>44743</v>
      </c>
      <c r="C197" s="1" t="n">
        <v>45355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31010-2022</t>
        </is>
      </c>
      <c r="B198" s="1" t="n">
        <v>44768</v>
      </c>
      <c r="C198" s="1" t="n">
        <v>45355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34431-2022</t>
        </is>
      </c>
      <c r="B199" s="1" t="n">
        <v>44792</v>
      </c>
      <c r="C199" s="1" t="n">
        <v>45355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37806-2022</t>
        </is>
      </c>
      <c r="B200" s="1" t="n">
        <v>44810</v>
      </c>
      <c r="C200" s="1" t="n">
        <v>45355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37796-2022</t>
        </is>
      </c>
      <c r="B201" s="1" t="n">
        <v>44810</v>
      </c>
      <c r="C201" s="1" t="n">
        <v>45355</v>
      </c>
      <c r="D201" t="inlineStr">
        <is>
          <t>ÖSTERGÖTLANDS LÄN</t>
        </is>
      </c>
      <c r="E201" t="inlineStr">
        <is>
          <t>MJÖLBY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37802-2022</t>
        </is>
      </c>
      <c r="B202" s="1" t="n">
        <v>44810</v>
      </c>
      <c r="C202" s="1" t="n">
        <v>45355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44652-2022</t>
        </is>
      </c>
      <c r="B203" s="1" t="n">
        <v>44840</v>
      </c>
      <c r="C203" s="1" t="n">
        <v>45355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46178-2022</t>
        </is>
      </c>
      <c r="B204" s="1" t="n">
        <v>44847</v>
      </c>
      <c r="C204" s="1" t="n">
        <v>45355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46183-2022</t>
        </is>
      </c>
      <c r="B205" s="1" t="n">
        <v>44847</v>
      </c>
      <c r="C205" s="1" t="n">
        <v>45355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46182-2022</t>
        </is>
      </c>
      <c r="B206" s="1" t="n">
        <v>44847</v>
      </c>
      <c r="C206" s="1" t="n">
        <v>45355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53524-2022</t>
        </is>
      </c>
      <c r="B207" s="1" t="n">
        <v>44879</v>
      </c>
      <c r="C207" s="1" t="n">
        <v>45355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53518-2022</t>
        </is>
      </c>
      <c r="B208" s="1" t="n">
        <v>44879</v>
      </c>
      <c r="C208" s="1" t="n">
        <v>45355</v>
      </c>
      <c r="D208" t="inlineStr">
        <is>
          <t>ÖSTERGÖTLANDS LÄN</t>
        </is>
      </c>
      <c r="E208" t="inlineStr">
        <is>
          <t>MJÖLBY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53520-2022</t>
        </is>
      </c>
      <c r="B209" s="1" t="n">
        <v>44879</v>
      </c>
      <c r="C209" s="1" t="n">
        <v>45355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45355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58798-2022</t>
        </is>
      </c>
      <c r="B211" s="1" t="n">
        <v>44903</v>
      </c>
      <c r="C211" s="1" t="n">
        <v>45355</v>
      </c>
      <c r="D211" t="inlineStr">
        <is>
          <t>ÖSTERGÖTLANDS LÄN</t>
        </is>
      </c>
      <c r="E211" t="inlineStr">
        <is>
          <t>MJÖLBY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58800-2022</t>
        </is>
      </c>
      <c r="B212" s="1" t="n">
        <v>44903</v>
      </c>
      <c r="C212" s="1" t="n">
        <v>45355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59234-2022</t>
        </is>
      </c>
      <c r="B213" s="1" t="n">
        <v>44904</v>
      </c>
      <c r="C213" s="1" t="n">
        <v>45355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59410-2022</t>
        </is>
      </c>
      <c r="B214" s="1" t="n">
        <v>44907</v>
      </c>
      <c r="C214" s="1" t="n">
        <v>45355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59411-2022</t>
        </is>
      </c>
      <c r="B215" s="1" t="n">
        <v>44907</v>
      </c>
      <c r="C215" s="1" t="n">
        <v>45355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45355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61433-2022</t>
        </is>
      </c>
      <c r="B217" s="1" t="n">
        <v>44909</v>
      </c>
      <c r="C217" s="1" t="n">
        <v>45355</v>
      </c>
      <c r="D217" t="inlineStr">
        <is>
          <t>ÖSTERGÖTLANDS LÄN</t>
        </is>
      </c>
      <c r="E217" t="inlineStr">
        <is>
          <t>MJÖLBY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1289-2023</t>
        </is>
      </c>
      <c r="B218" s="1" t="n">
        <v>44936</v>
      </c>
      <c r="C218" s="1" t="n">
        <v>45355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1293-2023</t>
        </is>
      </c>
      <c r="B219" s="1" t="n">
        <v>44936</v>
      </c>
      <c r="C219" s="1" t="n">
        <v>45355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1623-2023</t>
        </is>
      </c>
      <c r="B220" s="1" t="n">
        <v>44937</v>
      </c>
      <c r="C220" s="1" t="n">
        <v>45355</v>
      </c>
      <c r="D220" t="inlineStr">
        <is>
          <t>ÖSTERGÖTLANDS LÄN</t>
        </is>
      </c>
      <c r="E220" t="inlineStr">
        <is>
          <t>MJÖLBY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2066-2023</t>
        </is>
      </c>
      <c r="B221" s="1" t="n">
        <v>44939</v>
      </c>
      <c r="C221" s="1" t="n">
        <v>45355</v>
      </c>
      <c r="D221" t="inlineStr">
        <is>
          <t>ÖSTERGÖTLANDS LÄN</t>
        </is>
      </c>
      <c r="E221" t="inlineStr">
        <is>
          <t>MJÖLBY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2463-2023</t>
        </is>
      </c>
      <c r="B222" s="1" t="n">
        <v>44943</v>
      </c>
      <c r="C222" s="1" t="n">
        <v>45355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Kommuner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3087-2023</t>
        </is>
      </c>
      <c r="B223" s="1" t="n">
        <v>44946</v>
      </c>
      <c r="C223" s="1" t="n">
        <v>45355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3654-2023</t>
        </is>
      </c>
      <c r="B224" s="1" t="n">
        <v>44950</v>
      </c>
      <c r="C224" s="1" t="n">
        <v>45355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3877-2023</t>
        </is>
      </c>
      <c r="B225" s="1" t="n">
        <v>44951</v>
      </c>
      <c r="C225" s="1" t="n">
        <v>45355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3953-2023</t>
        </is>
      </c>
      <c r="B226" s="1" t="n">
        <v>44952</v>
      </c>
      <c r="C226" s="1" t="n">
        <v>45355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4821-2023</t>
        </is>
      </c>
      <c r="B227" s="1" t="n">
        <v>44957</v>
      </c>
      <c r="C227" s="1" t="n">
        <v>45355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7338-2023</t>
        </is>
      </c>
      <c r="B228" s="1" t="n">
        <v>44971</v>
      </c>
      <c r="C228" s="1" t="n">
        <v>45355</v>
      </c>
      <c r="D228" t="inlineStr">
        <is>
          <t>ÖSTERGÖTLANDS LÄN</t>
        </is>
      </c>
      <c r="E228" t="inlineStr">
        <is>
          <t>MJÖLBY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7337-2023</t>
        </is>
      </c>
      <c r="B229" s="1" t="n">
        <v>44971</v>
      </c>
      <c r="C229" s="1" t="n">
        <v>45355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9053-2023</t>
        </is>
      </c>
      <c r="B230" s="1" t="n">
        <v>44979</v>
      </c>
      <c r="C230" s="1" t="n">
        <v>45355</v>
      </c>
      <c r="D230" t="inlineStr">
        <is>
          <t>ÖSTERGÖTLANDS LÄN</t>
        </is>
      </c>
      <c r="E230" t="inlineStr">
        <is>
          <t>MJÖLBY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9122-2023</t>
        </is>
      </c>
      <c r="B231" s="1" t="n">
        <v>44980</v>
      </c>
      <c r="C231" s="1" t="n">
        <v>45355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</v>
      </c>
      <c r="C232" s="1" t="n">
        <v>45355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10963-2023</t>
        </is>
      </c>
      <c r="B233" s="1" t="n">
        <v>44991</v>
      </c>
      <c r="C233" s="1" t="n">
        <v>45355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13840-2023</t>
        </is>
      </c>
      <c r="B234" s="1" t="n">
        <v>45007</v>
      </c>
      <c r="C234" s="1" t="n">
        <v>45355</v>
      </c>
      <c r="D234" t="inlineStr">
        <is>
          <t>ÖSTERGÖTLANDS LÄN</t>
        </is>
      </c>
      <c r="E234" t="inlineStr">
        <is>
          <t>MJÖLBY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14210-2023</t>
        </is>
      </c>
      <c r="B235" s="1" t="n">
        <v>45009</v>
      </c>
      <c r="C235" s="1" t="n">
        <v>45355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15458-2023</t>
        </is>
      </c>
      <c r="B236" s="1" t="n">
        <v>45020</v>
      </c>
      <c r="C236" s="1" t="n">
        <v>45355</v>
      </c>
      <c r="D236" t="inlineStr">
        <is>
          <t>ÖSTERGÖTLANDS LÄN</t>
        </is>
      </c>
      <c r="E236" t="inlineStr">
        <is>
          <t>MJÖLBY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15467-2023</t>
        </is>
      </c>
      <c r="B237" s="1" t="n">
        <v>45020</v>
      </c>
      <c r="C237" s="1" t="n">
        <v>45355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15469-2023</t>
        </is>
      </c>
      <c r="B238" s="1" t="n">
        <v>45020</v>
      </c>
      <c r="C238" s="1" t="n">
        <v>45355</v>
      </c>
      <c r="D238" t="inlineStr">
        <is>
          <t>ÖSTERGÖTLANDS LÄN</t>
        </is>
      </c>
      <c r="E238" t="inlineStr">
        <is>
          <t>MJÖLBY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17707-2023</t>
        </is>
      </c>
      <c r="B239" s="1" t="n">
        <v>45037</v>
      </c>
      <c r="C239" s="1" t="n">
        <v>45355</v>
      </c>
      <c r="D239" t="inlineStr">
        <is>
          <t>ÖSTERGÖTLANDS LÄN</t>
        </is>
      </c>
      <c r="E239" t="inlineStr">
        <is>
          <t>MJÖLBY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17697-2023</t>
        </is>
      </c>
      <c r="B240" s="1" t="n">
        <v>45037</v>
      </c>
      <c r="C240" s="1" t="n">
        <v>45355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20435-2023</t>
        </is>
      </c>
      <c r="B241" s="1" t="n">
        <v>45056</v>
      </c>
      <c r="C241" s="1" t="n">
        <v>45355</v>
      </c>
      <c r="D241" t="inlineStr">
        <is>
          <t>ÖSTERGÖTLANDS LÄN</t>
        </is>
      </c>
      <c r="E241" t="inlineStr">
        <is>
          <t>MJÖLBY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21983-2023</t>
        </is>
      </c>
      <c r="B242" s="1" t="n">
        <v>45068</v>
      </c>
      <c r="C242" s="1" t="n">
        <v>45355</v>
      </c>
      <c r="D242" t="inlineStr">
        <is>
          <t>ÖSTERGÖTLANDS LÄN</t>
        </is>
      </c>
      <c r="E242" t="inlineStr">
        <is>
          <t>MJÖLBY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24866-2023</t>
        </is>
      </c>
      <c r="B243" s="1" t="n">
        <v>45085</v>
      </c>
      <c r="C243" s="1" t="n">
        <v>45355</v>
      </c>
      <c r="D243" t="inlineStr">
        <is>
          <t>ÖSTERGÖTLANDS LÄN</t>
        </is>
      </c>
      <c r="E243" t="inlineStr">
        <is>
          <t>MJÖLBY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27225-2023</t>
        </is>
      </c>
      <c r="B244" s="1" t="n">
        <v>45096</v>
      </c>
      <c r="C244" s="1" t="n">
        <v>45355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28338-2023</t>
        </is>
      </c>
      <c r="B245" s="1" t="n">
        <v>45099</v>
      </c>
      <c r="C245" s="1" t="n">
        <v>45355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28342-2023</t>
        </is>
      </c>
      <c r="B246" s="1" t="n">
        <v>45099</v>
      </c>
      <c r="C246" s="1" t="n">
        <v>45355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28899-2023</t>
        </is>
      </c>
      <c r="B247" s="1" t="n">
        <v>45104</v>
      </c>
      <c r="C247" s="1" t="n">
        <v>45355</v>
      </c>
      <c r="D247" t="inlineStr">
        <is>
          <t>ÖSTERGÖTLANDS LÄN</t>
        </is>
      </c>
      <c r="E247" t="inlineStr">
        <is>
          <t>MJÖLBY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28900-2023</t>
        </is>
      </c>
      <c r="B248" s="1" t="n">
        <v>45104</v>
      </c>
      <c r="C248" s="1" t="n">
        <v>45355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31984-2023</t>
        </is>
      </c>
      <c r="B249" s="1" t="n">
        <v>45119</v>
      </c>
      <c r="C249" s="1" t="n">
        <v>45355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Sveaskog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31994-2023</t>
        </is>
      </c>
      <c r="B250" s="1" t="n">
        <v>45119</v>
      </c>
      <c r="C250" s="1" t="n">
        <v>45355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35443-2023</t>
        </is>
      </c>
      <c r="B251" s="1" t="n">
        <v>45146</v>
      </c>
      <c r="C251" s="1" t="n">
        <v>45355</v>
      </c>
      <c r="D251" t="inlineStr">
        <is>
          <t>ÖSTERGÖTLANDS LÄN</t>
        </is>
      </c>
      <c r="E251" t="inlineStr">
        <is>
          <t>MJÖLBY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35447-2023</t>
        </is>
      </c>
      <c r="B252" s="1" t="n">
        <v>45146</v>
      </c>
      <c r="C252" s="1" t="n">
        <v>45355</v>
      </c>
      <c r="D252" t="inlineStr">
        <is>
          <t>ÖSTERGÖTLANDS LÄN</t>
        </is>
      </c>
      <c r="E252" t="inlineStr">
        <is>
          <t>MJÖLBY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35393-2023</t>
        </is>
      </c>
      <c r="B253" s="1" t="n">
        <v>45146</v>
      </c>
      <c r="C253" s="1" t="n">
        <v>45355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35348-2023</t>
        </is>
      </c>
      <c r="B254" s="1" t="n">
        <v>45146</v>
      </c>
      <c r="C254" s="1" t="n">
        <v>45355</v>
      </c>
      <c r="D254" t="inlineStr">
        <is>
          <t>ÖSTERGÖTLANDS LÄN</t>
        </is>
      </c>
      <c r="E254" t="inlineStr">
        <is>
          <t>MJÖLBY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35467-2023</t>
        </is>
      </c>
      <c r="B255" s="1" t="n">
        <v>45146</v>
      </c>
      <c r="C255" s="1" t="n">
        <v>45355</v>
      </c>
      <c r="D255" t="inlineStr">
        <is>
          <t>ÖSTERGÖTLANDS LÄN</t>
        </is>
      </c>
      <c r="E255" t="inlineStr">
        <is>
          <t>MJÖLBY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35446-2023</t>
        </is>
      </c>
      <c r="B256" s="1" t="n">
        <v>45146</v>
      </c>
      <c r="C256" s="1" t="n">
        <v>45355</v>
      </c>
      <c r="D256" t="inlineStr">
        <is>
          <t>ÖSTERGÖTLANDS LÄN</t>
        </is>
      </c>
      <c r="E256" t="inlineStr">
        <is>
          <t>MJÖLBY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35400-2023</t>
        </is>
      </c>
      <c r="B257" s="1" t="n">
        <v>45146</v>
      </c>
      <c r="C257" s="1" t="n">
        <v>45355</v>
      </c>
      <c r="D257" t="inlineStr">
        <is>
          <t>ÖSTERGÖTLANDS LÄN</t>
        </is>
      </c>
      <c r="E257" t="inlineStr">
        <is>
          <t>MJÖLBY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35404-2023</t>
        </is>
      </c>
      <c r="B258" s="1" t="n">
        <v>45146</v>
      </c>
      <c r="C258" s="1" t="n">
        <v>45355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36401-2023</t>
        </is>
      </c>
      <c r="B259" s="1" t="n">
        <v>45152</v>
      </c>
      <c r="C259" s="1" t="n">
        <v>45355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36828-2023</t>
        </is>
      </c>
      <c r="B260" s="1" t="n">
        <v>45154</v>
      </c>
      <c r="C260" s="1" t="n">
        <v>45355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37634-2023</t>
        </is>
      </c>
      <c r="B261" s="1" t="n">
        <v>45159</v>
      </c>
      <c r="C261" s="1" t="n">
        <v>45355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37631-2023</t>
        </is>
      </c>
      <c r="B262" s="1" t="n">
        <v>45159</v>
      </c>
      <c r="C262" s="1" t="n">
        <v>45355</v>
      </c>
      <c r="D262" t="inlineStr">
        <is>
          <t>ÖSTERGÖTLANDS LÄN</t>
        </is>
      </c>
      <c r="E262" t="inlineStr">
        <is>
          <t>MJÖLBY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38296-2023</t>
        </is>
      </c>
      <c r="B263" s="1" t="n">
        <v>45161</v>
      </c>
      <c r="C263" s="1" t="n">
        <v>45355</v>
      </c>
      <c r="D263" t="inlineStr">
        <is>
          <t>ÖSTERGÖTLANDS LÄN</t>
        </is>
      </c>
      <c r="E263" t="inlineStr">
        <is>
          <t>MJÖLBY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38300-2023</t>
        </is>
      </c>
      <c r="B264" s="1" t="n">
        <v>45161</v>
      </c>
      <c r="C264" s="1" t="n">
        <v>45355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38287-2023</t>
        </is>
      </c>
      <c r="B265" s="1" t="n">
        <v>45161</v>
      </c>
      <c r="C265" s="1" t="n">
        <v>45355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38299-2023</t>
        </is>
      </c>
      <c r="B266" s="1" t="n">
        <v>45161</v>
      </c>
      <c r="C266" s="1" t="n">
        <v>45355</v>
      </c>
      <c r="D266" t="inlineStr">
        <is>
          <t>ÖSTERGÖTLANDS LÄN</t>
        </is>
      </c>
      <c r="E266" t="inlineStr">
        <is>
          <t>MJÖLBY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38290-2023</t>
        </is>
      </c>
      <c r="B267" s="1" t="n">
        <v>45161</v>
      </c>
      <c r="C267" s="1" t="n">
        <v>45355</v>
      </c>
      <c r="D267" t="inlineStr">
        <is>
          <t>ÖSTERGÖTLANDS LÄN</t>
        </is>
      </c>
      <c r="E267" t="inlineStr">
        <is>
          <t>MJÖLBY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39669-2023</t>
        </is>
      </c>
      <c r="B268" s="1" t="n">
        <v>45167</v>
      </c>
      <c r="C268" s="1" t="n">
        <v>45355</v>
      </c>
      <c r="D268" t="inlineStr">
        <is>
          <t>ÖSTERGÖTLANDS LÄN</t>
        </is>
      </c>
      <c r="E268" t="inlineStr">
        <is>
          <t>MJÖLBY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40540-2023</t>
        </is>
      </c>
      <c r="B269" s="1" t="n">
        <v>45170</v>
      </c>
      <c r="C269" s="1" t="n">
        <v>45355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40667-2023</t>
        </is>
      </c>
      <c r="B270" s="1" t="n">
        <v>45170</v>
      </c>
      <c r="C270" s="1" t="n">
        <v>45355</v>
      </c>
      <c r="D270" t="inlineStr">
        <is>
          <t>ÖSTERGÖTLANDS LÄN</t>
        </is>
      </c>
      <c r="E270" t="inlineStr">
        <is>
          <t>MJÖLBY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41337-2023</t>
        </is>
      </c>
      <c r="B271" s="1" t="n">
        <v>45174</v>
      </c>
      <c r="C271" s="1" t="n">
        <v>45355</v>
      </c>
      <c r="D271" t="inlineStr">
        <is>
          <t>ÖSTERGÖTLANDS LÄN</t>
        </is>
      </c>
      <c r="E271" t="inlineStr">
        <is>
          <t>MJÖLBY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41814-2023</t>
        </is>
      </c>
      <c r="B272" s="1" t="n">
        <v>45176</v>
      </c>
      <c r="C272" s="1" t="n">
        <v>45355</v>
      </c>
      <c r="D272" t="inlineStr">
        <is>
          <t>ÖSTERGÖTLANDS LÄN</t>
        </is>
      </c>
      <c r="E272" t="inlineStr">
        <is>
          <t>MJÖLBY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41819-2023</t>
        </is>
      </c>
      <c r="B273" s="1" t="n">
        <v>45176</v>
      </c>
      <c r="C273" s="1" t="n">
        <v>45355</v>
      </c>
      <c r="D273" t="inlineStr">
        <is>
          <t>ÖSTERGÖTLANDS LÄN</t>
        </is>
      </c>
      <c r="E273" t="inlineStr">
        <is>
          <t>MJÖLBY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42042-2023</t>
        </is>
      </c>
      <c r="B274" s="1" t="n">
        <v>45177</v>
      </c>
      <c r="C274" s="1" t="n">
        <v>45355</v>
      </c>
      <c r="D274" t="inlineStr">
        <is>
          <t>ÖSTERGÖTLANDS LÄN</t>
        </is>
      </c>
      <c r="E274" t="inlineStr">
        <is>
          <t>MJÖLBY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42837-2023</t>
        </is>
      </c>
      <c r="B275" s="1" t="n">
        <v>45182</v>
      </c>
      <c r="C275" s="1" t="n">
        <v>45355</v>
      </c>
      <c r="D275" t="inlineStr">
        <is>
          <t>ÖSTERGÖTLANDS LÄN</t>
        </is>
      </c>
      <c r="E275" t="inlineStr">
        <is>
          <t>MJÖLBY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42851-2023</t>
        </is>
      </c>
      <c r="B276" s="1" t="n">
        <v>45182</v>
      </c>
      <c r="C276" s="1" t="n">
        <v>45355</v>
      </c>
      <c r="D276" t="inlineStr">
        <is>
          <t>ÖSTERGÖTLANDS LÄN</t>
        </is>
      </c>
      <c r="E276" t="inlineStr">
        <is>
          <t>MJÖLBY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45164-2023</t>
        </is>
      </c>
      <c r="B277" s="1" t="n">
        <v>45191</v>
      </c>
      <c r="C277" s="1" t="n">
        <v>45355</v>
      </c>
      <c r="D277" t="inlineStr">
        <is>
          <t>ÖSTERGÖTLANDS LÄN</t>
        </is>
      </c>
      <c r="E277" t="inlineStr">
        <is>
          <t>MJÖLBY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46589-2023</t>
        </is>
      </c>
      <c r="B278" s="1" t="n">
        <v>45194</v>
      </c>
      <c r="C278" s="1" t="n">
        <v>45355</v>
      </c>
      <c r="D278" t="inlineStr">
        <is>
          <t>ÖSTERGÖTLANDS LÄN</t>
        </is>
      </c>
      <c r="E278" t="inlineStr">
        <is>
          <t>MJÖLBY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45705-2023</t>
        </is>
      </c>
      <c r="B279" s="1" t="n">
        <v>45195</v>
      </c>
      <c r="C279" s="1" t="n">
        <v>45355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45708-2023</t>
        </is>
      </c>
      <c r="B280" s="1" t="n">
        <v>45195</v>
      </c>
      <c r="C280" s="1" t="n">
        <v>45355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47392-2023</t>
        </is>
      </c>
      <c r="B281" s="1" t="n">
        <v>45202</v>
      </c>
      <c r="C281" s="1" t="n">
        <v>45355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47661-2023</t>
        </is>
      </c>
      <c r="B282" s="1" t="n">
        <v>45203</v>
      </c>
      <c r="C282" s="1" t="n">
        <v>45355</v>
      </c>
      <c r="D282" t="inlineStr">
        <is>
          <t>ÖSTERGÖTLANDS LÄN</t>
        </is>
      </c>
      <c r="E282" t="inlineStr">
        <is>
          <t>MJÖLBY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47663-2023</t>
        </is>
      </c>
      <c r="B283" s="1" t="n">
        <v>45203</v>
      </c>
      <c r="C283" s="1" t="n">
        <v>45355</v>
      </c>
      <c r="D283" t="inlineStr">
        <is>
          <t>ÖSTERGÖTLANDS LÄN</t>
        </is>
      </c>
      <c r="E283" t="inlineStr">
        <is>
          <t>MJÖLBY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50179-2023</t>
        </is>
      </c>
      <c r="B284" s="1" t="n">
        <v>45208</v>
      </c>
      <c r="C284" s="1" t="n">
        <v>45355</v>
      </c>
      <c r="D284" t="inlineStr">
        <is>
          <t>ÖSTERGÖTLANDS LÄN</t>
        </is>
      </c>
      <c r="E284" t="inlineStr">
        <is>
          <t>MJÖLBY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50181-2023</t>
        </is>
      </c>
      <c r="B285" s="1" t="n">
        <v>45208</v>
      </c>
      <c r="C285" s="1" t="n">
        <v>45355</v>
      </c>
      <c r="D285" t="inlineStr">
        <is>
          <t>ÖSTERGÖTLANDS LÄN</t>
        </is>
      </c>
      <c r="E285" t="inlineStr">
        <is>
          <t>MJÖLBY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49971-2023</t>
        </is>
      </c>
      <c r="B286" s="1" t="n">
        <v>45215</v>
      </c>
      <c r="C286" s="1" t="n">
        <v>45355</v>
      </c>
      <c r="D286" t="inlineStr">
        <is>
          <t>ÖSTERGÖTLANDS LÄN</t>
        </is>
      </c>
      <c r="E286" t="inlineStr">
        <is>
          <t>MJÖLBY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50339-2023</t>
        </is>
      </c>
      <c r="B287" s="1" t="n">
        <v>45216</v>
      </c>
      <c r="C287" s="1" t="n">
        <v>45355</v>
      </c>
      <c r="D287" t="inlineStr">
        <is>
          <t>ÖSTERGÖTLANDS LÄN</t>
        </is>
      </c>
      <c r="E287" t="inlineStr">
        <is>
          <t>MJÖLBY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50570-2023</t>
        </is>
      </c>
      <c r="B288" s="1" t="n">
        <v>45217</v>
      </c>
      <c r="C288" s="1" t="n">
        <v>45355</v>
      </c>
      <c r="D288" t="inlineStr">
        <is>
          <t>ÖSTERGÖTLANDS LÄN</t>
        </is>
      </c>
      <c r="E288" t="inlineStr">
        <is>
          <t>MJÖLBY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51475-2023</t>
        </is>
      </c>
      <c r="B289" s="1" t="n">
        <v>45221</v>
      </c>
      <c r="C289" s="1" t="n">
        <v>45355</v>
      </c>
      <c r="D289" t="inlineStr">
        <is>
          <t>ÖSTERGÖTLANDS LÄN</t>
        </is>
      </c>
      <c r="E289" t="inlineStr">
        <is>
          <t>MJÖLBY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52655-2023</t>
        </is>
      </c>
      <c r="B290" s="1" t="n">
        <v>45225</v>
      </c>
      <c r="C290" s="1" t="n">
        <v>45355</v>
      </c>
      <c r="D290" t="inlineStr">
        <is>
          <t>ÖSTERGÖTLANDS LÄN</t>
        </is>
      </c>
      <c r="E290" t="inlineStr">
        <is>
          <t>MJÖLBY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52781-2023</t>
        </is>
      </c>
      <c r="B291" s="1" t="n">
        <v>45226</v>
      </c>
      <c r="C291" s="1" t="n">
        <v>45355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52832-2023</t>
        </is>
      </c>
      <c r="B292" s="1" t="n">
        <v>45226</v>
      </c>
      <c r="C292" s="1" t="n">
        <v>45355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53521-2023</t>
        </is>
      </c>
      <c r="B293" s="1" t="n">
        <v>45230</v>
      </c>
      <c r="C293" s="1" t="n">
        <v>45355</v>
      </c>
      <c r="D293" t="inlineStr">
        <is>
          <t>ÖSTERGÖTLANDS LÄN</t>
        </is>
      </c>
      <c r="E293" t="inlineStr">
        <is>
          <t>MJÖLBY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53530-2023</t>
        </is>
      </c>
      <c r="B294" s="1" t="n">
        <v>45230</v>
      </c>
      <c r="C294" s="1" t="n">
        <v>45355</v>
      </c>
      <c r="D294" t="inlineStr">
        <is>
          <t>ÖSTERGÖTLANDS LÄN</t>
        </is>
      </c>
      <c r="E294" t="inlineStr">
        <is>
          <t>MJÖLBY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55216-2023</t>
        </is>
      </c>
      <c r="B295" s="1" t="n">
        <v>45237</v>
      </c>
      <c r="C295" s="1" t="n">
        <v>45355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Kyrkan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56630-2023</t>
        </is>
      </c>
      <c r="B296" s="1" t="n">
        <v>45243</v>
      </c>
      <c r="C296" s="1" t="n">
        <v>45355</v>
      </c>
      <c r="D296" t="inlineStr">
        <is>
          <t>ÖSTERGÖTLANDS LÄN</t>
        </is>
      </c>
      <c r="E296" t="inlineStr">
        <is>
          <t>MJÖLBY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58412-2023</t>
        </is>
      </c>
      <c r="B297" s="1" t="n">
        <v>45250</v>
      </c>
      <c r="C297" s="1" t="n">
        <v>45355</v>
      </c>
      <c r="D297" t="inlineStr">
        <is>
          <t>ÖSTERGÖTLANDS LÄN</t>
        </is>
      </c>
      <c r="E297" t="inlineStr">
        <is>
          <t>MJÖLBY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61012-2023</t>
        </is>
      </c>
      <c r="B298" s="1" t="n">
        <v>45259</v>
      </c>
      <c r="C298" s="1" t="n">
        <v>45355</v>
      </c>
      <c r="D298" t="inlineStr">
        <is>
          <t>ÖSTERGÖTLANDS LÄN</t>
        </is>
      </c>
      <c r="E298" t="inlineStr">
        <is>
          <t>MJÖLBY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61013-2023</t>
        </is>
      </c>
      <c r="B299" s="1" t="n">
        <v>45259</v>
      </c>
      <c r="C299" s="1" t="n">
        <v>45355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60386-2023</t>
        </is>
      </c>
      <c r="B300" s="1" t="n">
        <v>45259</v>
      </c>
      <c r="C300" s="1" t="n">
        <v>45355</v>
      </c>
      <c r="D300" t="inlineStr">
        <is>
          <t>ÖSTERGÖTLANDS LÄN</t>
        </is>
      </c>
      <c r="E300" t="inlineStr">
        <is>
          <t>MJÖLBY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60987-2023</t>
        </is>
      </c>
      <c r="B301" s="1" t="n">
        <v>45261</v>
      </c>
      <c r="C301" s="1" t="n">
        <v>45355</v>
      </c>
      <c r="D301" t="inlineStr">
        <is>
          <t>ÖSTERGÖTLANDS LÄN</t>
        </is>
      </c>
      <c r="E301" t="inlineStr">
        <is>
          <t>MJÖLBY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60978-2023</t>
        </is>
      </c>
      <c r="B302" s="1" t="n">
        <v>45261</v>
      </c>
      <c r="C302" s="1" t="n">
        <v>45355</v>
      </c>
      <c r="D302" t="inlineStr">
        <is>
          <t>ÖSTERGÖTLANDS LÄN</t>
        </is>
      </c>
      <c r="E302" t="inlineStr">
        <is>
          <t>MJÖLBY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60964-2023</t>
        </is>
      </c>
      <c r="B303" s="1" t="n">
        <v>45261</v>
      </c>
      <c r="C303" s="1" t="n">
        <v>45355</v>
      </c>
      <c r="D303" t="inlineStr">
        <is>
          <t>ÖSTERGÖTLANDS LÄN</t>
        </is>
      </c>
      <c r="E303" t="inlineStr">
        <is>
          <t>MJÖLBY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60977-2023</t>
        </is>
      </c>
      <c r="B304" s="1" t="n">
        <v>45261</v>
      </c>
      <c r="C304" s="1" t="n">
        <v>45355</v>
      </c>
      <c r="D304" t="inlineStr">
        <is>
          <t>ÖSTERGÖTLANDS LÄN</t>
        </is>
      </c>
      <c r="E304" t="inlineStr">
        <is>
          <t>MJÖLBY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60969-2023</t>
        </is>
      </c>
      <c r="B305" s="1" t="n">
        <v>45261</v>
      </c>
      <c r="C305" s="1" t="n">
        <v>45355</v>
      </c>
      <c r="D305" t="inlineStr">
        <is>
          <t>ÖSTERGÖTLANDS LÄN</t>
        </is>
      </c>
      <c r="E305" t="inlineStr">
        <is>
          <t>MJÖLBY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61600-2023</t>
        </is>
      </c>
      <c r="B306" s="1" t="n">
        <v>45261</v>
      </c>
      <c r="C306" s="1" t="n">
        <v>45355</v>
      </c>
      <c r="D306" t="inlineStr">
        <is>
          <t>ÖSTERGÖTLANDS LÄN</t>
        </is>
      </c>
      <c r="E306" t="inlineStr">
        <is>
          <t>MJÖLBY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61575-2023</t>
        </is>
      </c>
      <c r="B307" s="1" t="n">
        <v>45261</v>
      </c>
      <c r="C307" s="1" t="n">
        <v>45355</v>
      </c>
      <c r="D307" t="inlineStr">
        <is>
          <t>ÖSTERGÖTLANDS LÄN</t>
        </is>
      </c>
      <c r="E307" t="inlineStr">
        <is>
          <t>MJÖLBY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60975-2023</t>
        </is>
      </c>
      <c r="B308" s="1" t="n">
        <v>45261</v>
      </c>
      <c r="C308" s="1" t="n">
        <v>45355</v>
      </c>
      <c r="D308" t="inlineStr">
        <is>
          <t>ÖSTERGÖTLANDS LÄN</t>
        </is>
      </c>
      <c r="E308" t="inlineStr">
        <is>
          <t>MJÖLBY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62238-2023</t>
        </is>
      </c>
      <c r="B309" s="1" t="n">
        <v>45267</v>
      </c>
      <c r="C309" s="1" t="n">
        <v>45355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62570-2023</t>
        </is>
      </c>
      <c r="B310" s="1" t="n">
        <v>45269</v>
      </c>
      <c r="C310" s="1" t="n">
        <v>45355</v>
      </c>
      <c r="D310" t="inlineStr">
        <is>
          <t>ÖSTERGÖTLANDS LÄN</t>
        </is>
      </c>
      <c r="E310" t="inlineStr">
        <is>
          <t>MJÖLBY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63467-2023</t>
        </is>
      </c>
      <c r="B311" s="1" t="n">
        <v>45273</v>
      </c>
      <c r="C311" s="1" t="n">
        <v>45355</v>
      </c>
      <c r="D311" t="inlineStr">
        <is>
          <t>ÖSTERGÖTLANDS LÄN</t>
        </is>
      </c>
      <c r="E311" t="inlineStr">
        <is>
          <t>MJÖLBY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63449-2023</t>
        </is>
      </c>
      <c r="B312" s="1" t="n">
        <v>45273</v>
      </c>
      <c r="C312" s="1" t="n">
        <v>45355</v>
      </c>
      <c r="D312" t="inlineStr">
        <is>
          <t>ÖSTERGÖTLANDS LÄN</t>
        </is>
      </c>
      <c r="E312" t="inlineStr">
        <is>
          <t>MJÖLBY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64927-2023</t>
        </is>
      </c>
      <c r="B313" s="1" t="n">
        <v>45282</v>
      </c>
      <c r="C313" s="1" t="n">
        <v>45355</v>
      </c>
      <c r="D313" t="inlineStr">
        <is>
          <t>ÖSTERGÖTLANDS LÄN</t>
        </is>
      </c>
      <c r="E313" t="inlineStr">
        <is>
          <t>MJÖLBY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64932-2023</t>
        </is>
      </c>
      <c r="B314" s="1" t="n">
        <v>45282</v>
      </c>
      <c r="C314" s="1" t="n">
        <v>45355</v>
      </c>
      <c r="D314" t="inlineStr">
        <is>
          <t>ÖSTERGÖTLANDS LÄN</t>
        </is>
      </c>
      <c r="E314" t="inlineStr">
        <is>
          <t>MJÖLBY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64928-2023</t>
        </is>
      </c>
      <c r="B315" s="1" t="n">
        <v>45282</v>
      </c>
      <c r="C315" s="1" t="n">
        <v>45355</v>
      </c>
      <c r="D315" t="inlineStr">
        <is>
          <t>ÖSTERGÖTLANDS LÄN</t>
        </is>
      </c>
      <c r="E315" t="inlineStr">
        <is>
          <t>MJÖLBY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64934-2023</t>
        </is>
      </c>
      <c r="B316" s="1" t="n">
        <v>45282</v>
      </c>
      <c r="C316" s="1" t="n">
        <v>45355</v>
      </c>
      <c r="D316" t="inlineStr">
        <is>
          <t>ÖSTERGÖTLANDS LÄN</t>
        </is>
      </c>
      <c r="E316" t="inlineStr">
        <is>
          <t>MJÖLBY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64930-2023</t>
        </is>
      </c>
      <c r="B317" s="1" t="n">
        <v>45282</v>
      </c>
      <c r="C317" s="1" t="n">
        <v>45355</v>
      </c>
      <c r="D317" t="inlineStr">
        <is>
          <t>ÖSTERGÖTLANDS LÄN</t>
        </is>
      </c>
      <c r="E317" t="inlineStr">
        <is>
          <t>MJÖLBY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64935-2023</t>
        </is>
      </c>
      <c r="B318" s="1" t="n">
        <v>45282</v>
      </c>
      <c r="C318" s="1" t="n">
        <v>45355</v>
      </c>
      <c r="D318" t="inlineStr">
        <is>
          <t>ÖSTERGÖTLANDS LÄN</t>
        </is>
      </c>
      <c r="E318" t="inlineStr">
        <is>
          <t>MJÖLBY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64929-2023</t>
        </is>
      </c>
      <c r="B319" s="1" t="n">
        <v>45282</v>
      </c>
      <c r="C319" s="1" t="n">
        <v>45355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79-2024</t>
        </is>
      </c>
      <c r="B320" s="1" t="n">
        <v>45293</v>
      </c>
      <c r="C320" s="1" t="n">
        <v>45355</v>
      </c>
      <c r="D320" t="inlineStr">
        <is>
          <t>ÖSTERGÖTLANDS LÄN</t>
        </is>
      </c>
      <c r="E320" t="inlineStr">
        <is>
          <t>MJÖLBY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279-2024</t>
        </is>
      </c>
      <c r="B321" s="1" t="n">
        <v>45294</v>
      </c>
      <c r="C321" s="1" t="n">
        <v>45355</v>
      </c>
      <c r="D321" t="inlineStr">
        <is>
          <t>ÖSTERGÖTLANDS LÄN</t>
        </is>
      </c>
      <c r="E321" t="inlineStr">
        <is>
          <t>MJÖLBY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961-2024</t>
        </is>
      </c>
      <c r="B322" s="1" t="n">
        <v>45301</v>
      </c>
      <c r="C322" s="1" t="n">
        <v>45355</v>
      </c>
      <c r="D322" t="inlineStr">
        <is>
          <t>ÖSTERGÖTLANDS LÄN</t>
        </is>
      </c>
      <c r="E322" t="inlineStr">
        <is>
          <t>MJÖLBY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2745-2024</t>
        </is>
      </c>
      <c r="B323" s="1" t="n">
        <v>45314</v>
      </c>
      <c r="C323" s="1" t="n">
        <v>45355</v>
      </c>
      <c r="D323" t="inlineStr">
        <is>
          <t>ÖSTERGÖTLANDS LÄN</t>
        </is>
      </c>
      <c r="E323" t="inlineStr">
        <is>
          <t>MJÖLBY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2749-2024</t>
        </is>
      </c>
      <c r="B324" s="1" t="n">
        <v>45314</v>
      </c>
      <c r="C324" s="1" t="n">
        <v>45355</v>
      </c>
      <c r="D324" t="inlineStr">
        <is>
          <t>ÖSTERGÖTLANDS LÄN</t>
        </is>
      </c>
      <c r="E324" t="inlineStr">
        <is>
          <t>MJÖLBY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3119-2024</t>
        </is>
      </c>
      <c r="B325" s="1" t="n">
        <v>45316</v>
      </c>
      <c r="C325" s="1" t="n">
        <v>45355</v>
      </c>
      <c r="D325" t="inlineStr">
        <is>
          <t>ÖSTERGÖTLANDS LÄN</t>
        </is>
      </c>
      <c r="E325" t="inlineStr">
        <is>
          <t>MJÖLBY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3104-2024</t>
        </is>
      </c>
      <c r="B326" s="1" t="n">
        <v>45316</v>
      </c>
      <c r="C326" s="1" t="n">
        <v>45355</v>
      </c>
      <c r="D326" t="inlineStr">
        <is>
          <t>ÖSTERGÖTLANDS LÄN</t>
        </is>
      </c>
      <c r="E326" t="inlineStr">
        <is>
          <t>MJÖLBY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3705-2024</t>
        </is>
      </c>
      <c r="B327" s="1" t="n">
        <v>45321</v>
      </c>
      <c r="C327" s="1" t="n">
        <v>45355</v>
      </c>
      <c r="D327" t="inlineStr">
        <is>
          <t>ÖSTERGÖTLANDS LÄN</t>
        </is>
      </c>
      <c r="E327" t="inlineStr">
        <is>
          <t>MJÖLBY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4314-2024</t>
        </is>
      </c>
      <c r="B328" s="1" t="n">
        <v>45324</v>
      </c>
      <c r="C328" s="1" t="n">
        <v>45355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6785-2024</t>
        </is>
      </c>
      <c r="B329" s="1" t="n">
        <v>45342</v>
      </c>
      <c r="C329" s="1" t="n">
        <v>45355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7203-2024</t>
        </is>
      </c>
      <c r="B330" s="1" t="n">
        <v>45344</v>
      </c>
      <c r="C330" s="1" t="n">
        <v>45355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Kommuner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2024-03-04T12:57:32Z</dcterms:created>
  <dcterms:modified xmlns:dcterms="http://purl.org/dc/terms/" xmlns:xsi="http://www.w3.org/2001/XMLSchema-instance" xsi:type="dcterms:W3CDTF">2024-03-04T12:57:33Z</dcterms:modified>
</cp:coreProperties>
</file>