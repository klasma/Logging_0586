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46286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46286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46286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46286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46286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46286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22327-2024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45446</v>
      </c>
      <c r="E8" s="1" t="n">
        <v>46286</v>
      </c>
      <c r="F8" t="inlineStr">
        <is>
          <t>ÖSTERGÖTLANDS LÄN</t>
        </is>
      </c>
      <c r="G8" t="inlineStr">
        <is>
          <t>MJÖLBY</t>
        </is>
      </c>
      <c r="I8" t="n">
        <v>1.8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Svinrot</t>
        </is>
      </c>
      <c r="W8">
        <f>HYPERLINK("https://klasma.github.io/Logging_0586/artfynd/A 22327-2024 artfynd.xlsx", "A 22327-2024")</f>
        <v/>
      </c>
      <c r="X8">
        <f>HYPERLINK("https://klasma.github.io/Logging_0586/kartor/A 22327-2024 karta.png", "A 22327-2024")</f>
        <v/>
      </c>
      <c r="Y8">
        <f>HYPERLINK("https://klasma.github.io/Logging_0586/kartor_geotiff/A 22327-2024 georefererad karta.tif", "A 22327-2024")</f>
        <v/>
      </c>
      <c r="AA8">
        <f>HYPERLINK("https://klasma.github.io/Logging_0586/klagomål/A 22327-2024 FSC-klagomål.docx", "A 22327-2024")</f>
        <v/>
      </c>
      <c r="AB8">
        <f>HYPERLINK("https://klasma.github.io/Logging_0586/klagomålsmail/A 22327-2024 FSC-klagomål mail.docx", "A 22327-2024")</f>
        <v/>
      </c>
      <c r="AC8">
        <f>HYPERLINK("https://klasma.github.io/Logging_0586/tillsyn/A 22327-2024 tillsynsbegäran.docx", "A 22327-2024")</f>
        <v/>
      </c>
      <c r="AD8">
        <f>HYPERLINK("https://klasma.github.io/Logging_0586/tillsynsmail/A 22327-2024 tillsynsbegäran mail.docx", "A 22327-2024")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46286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7564-2025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45705</v>
      </c>
      <c r="E10" s="1" t="n">
        <v>46286</v>
      </c>
      <c r="F10" t="inlineStr">
        <is>
          <t>ÖSTERGÖTLANDS LÄN</t>
        </is>
      </c>
      <c r="G10" t="inlineStr">
        <is>
          <t>MJÖLBY</t>
        </is>
      </c>
      <c r="I10" t="n">
        <v>1.1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4</v>
      </c>
      <c r="U10" t="n">
        <v>4</v>
      </c>
      <c r="V10" s="2" t="inlineStr">
        <is>
          <t>Solvända</t>
        </is>
      </c>
      <c r="W10">
        <f>HYPERLINK("https://klasma.github.io/Logging_0586/artfynd/A 7564-2025 artfynd.xlsx", "A 7564-2025")</f>
        <v/>
      </c>
      <c r="X10">
        <f>HYPERLINK("https://klasma.github.io/Logging_0586/kartor/A 7564-2025 karta.png", "A 7564-2025")</f>
        <v/>
      </c>
      <c r="Y10">
        <f>HYPERLINK("https://klasma.github.io/Logging_0586/kartor_geotiff/A 7564-2025 georefererad karta.tif", "A 7564-2025")</f>
        <v/>
      </c>
      <c r="AA10">
        <f>HYPERLINK("https://klasma.github.io/Logging_0586/klagomål/A 7564-2025 FSC-klagomål.docx", "A 7564-2025")</f>
        <v/>
      </c>
      <c r="AB10">
        <f>HYPERLINK("https://klasma.github.io/Logging_0586/klagomålsmail/A 7564-2025 FSC-klagomål mail.docx", "A 7564-2025")</f>
        <v/>
      </c>
      <c r="AC10">
        <f>HYPERLINK("https://klasma.github.io/Logging_0586/tillsyn/A 7564-2025 tillsynsbegäran.docx", "A 7564-2025")</f>
        <v/>
      </c>
      <c r="AD10">
        <f>HYPERLINK("https://klasma.github.io/Logging_0586/tillsynsmail/A 7564-2025 tillsynsbegäran mail.docx", "A 7564-2025")</f>
        <v/>
      </c>
    </row>
    <row r="11" ht="15" customHeight="1">
      <c r="A11" t="inlineStr">
        <is>
          <t>A 51642-2021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44462</v>
      </c>
      <c r="E11" s="1" t="n">
        <v>46286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Vårstarr</t>
        </is>
      </c>
      <c r="W11">
        <f>HYPERLINK("https://klasma.github.io/Logging_0586/artfynd/A 51642-2021 artfynd.xlsx", "A 51642-2021")</f>
        <v/>
      </c>
      <c r="X11">
        <f>HYPERLINK("https://klasma.github.io/Logging_0586/kartor/A 51642-2021 karta.png", "A 51642-2021")</f>
        <v/>
      </c>
      <c r="Y11">
        <f>HYPERLINK("https://klasma.github.io/Logging_0586/kartor_geotiff/A 51642-2021 georefererad karta.tif", "A 51642-2021")</f>
        <v/>
      </c>
      <c r="AA11">
        <f>HYPERLINK("https://klasma.github.io/Logging_0586/klagomål/A 51642-2021 FSC-klagomål.docx", "A 51642-2021")</f>
        <v/>
      </c>
      <c r="AB11">
        <f>HYPERLINK("https://klasma.github.io/Logging_0586/klagomålsmail/A 51642-2021 FSC-klagomål mail.docx", "A 51642-2021")</f>
        <v/>
      </c>
      <c r="AC11">
        <f>HYPERLINK("https://klasma.github.io/Logging_0586/tillsyn/A 51642-2021 tillsynsbegäran.docx", "A 51642-2021")</f>
        <v/>
      </c>
      <c r="AD11">
        <f>HYPERLINK("https://klasma.github.io/Logging_0586/tillsynsmail/A 51642-2021 tillsynsbegäran mail.docx", "A 51642-2021")</f>
        <v/>
      </c>
    </row>
    <row r="12" ht="15" customHeight="1">
      <c r="A12" t="inlineStr">
        <is>
          <t>A 51642-2021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44462</v>
      </c>
      <c r="E12" s="1" t="n">
        <v>46286</v>
      </c>
      <c r="F12" t="inlineStr">
        <is>
          <t>ÖSTERGÖTLANDS LÄN</t>
        </is>
      </c>
      <c r="G12" t="inlineStr">
        <is>
          <t>MJÖLBY</t>
        </is>
      </c>
      <c r="I12" t="n">
        <v>2.9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Vårstarr</t>
        </is>
      </c>
      <c r="W12">
        <f>HYPERLINK("https://klasma.github.io/Logging_0586/artfynd/A 51642-2021 artfynd.xlsx", "A 51642-2021")</f>
        <v/>
      </c>
      <c r="X12">
        <f>HYPERLINK("https://klasma.github.io/Logging_0586/kartor/A 51642-2021 karta.png", "A 51642-2021")</f>
        <v/>
      </c>
      <c r="Y12">
        <f>HYPERLINK("https://klasma.github.io/Logging_0586/kartor_geotiff/A 51642-2021 georefererad karta.tif", "A 51642-2021")</f>
        <v/>
      </c>
      <c r="AA12">
        <f>HYPERLINK("https://klasma.github.io/Logging_0586/klagomål/A 51642-2021 FSC-klagomål.docx", "A 51642-2021")</f>
        <v/>
      </c>
      <c r="AB12">
        <f>HYPERLINK("https://klasma.github.io/Logging_0586/klagomålsmail/A 51642-2021 FSC-klagomål mail.docx", "A 51642-2021")</f>
        <v/>
      </c>
      <c r="AC12">
        <f>HYPERLINK("https://klasma.github.io/Logging_0586/tillsyn/A 51642-2021 tillsynsbegäran.docx", "A 51642-2021")</f>
        <v/>
      </c>
      <c r="AD12">
        <f>HYPERLINK("https://klasma.github.io/Logging_0586/tillsynsmail/A 51642-2021 tillsynsbegäran mail.docx", "A 51642-2021")</f>
        <v/>
      </c>
    </row>
    <row r="13" ht="15" customHeight="1">
      <c r="A13" t="inlineStr">
        <is>
          <t>A 60983-2023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45261</v>
      </c>
      <c r="E13" s="1" t="n">
        <v>46286</v>
      </c>
      <c r="F13" t="inlineStr">
        <is>
          <t>ÖSTERGÖTLANDS LÄN</t>
        </is>
      </c>
      <c r="G13" t="inlineStr">
        <is>
          <t>MJÖLBY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HYPERLINK("https://klasma.github.io/Logging_0586/artfynd/A 60983-2023 artfynd.xlsx", "A 60983-2023")</f>
        <v/>
      </c>
      <c r="X13">
        <f>HYPERLINK("https://klasma.github.io/Logging_0586/kartor/A 60983-2023 karta.png", "A 60983-2023")</f>
        <v/>
      </c>
      <c r="Y13">
        <f>HYPERLINK("https://klasma.github.io/Logging_0586/kartor_geotiff/A 60983-2023 georefererad karta.tif", "A 60983-2023")</f>
        <v/>
      </c>
      <c r="AA13">
        <f>HYPERLINK("https://klasma.github.io/Logging_0586/klagomål/A 60983-2023 FSC-klagomål.docx", "A 60983-2023")</f>
        <v/>
      </c>
      <c r="AB13">
        <f>HYPERLINK("https://klasma.github.io/Logging_0586/klagomålsmail/A 60983-2023 FSC-klagomål mail.docx", "A 60983-2023")</f>
        <v/>
      </c>
      <c r="AC13">
        <f>HYPERLINK("https://klasma.github.io/Logging_0586/tillsyn/A 60983-2023 tillsynsbegäran.docx", "A 60983-2023")</f>
        <v/>
      </c>
      <c r="AD13">
        <f>HYPERLINK("https://klasma.github.io/Logging_0586/tillsynsmail/A 60983-2023 tillsynsbegäran mail.docx", "A 60983-2023")</f>
        <v/>
      </c>
    </row>
    <row r="14" ht="15" customHeight="1">
      <c r="A14" t="inlineStr">
        <is>
          <t>A 46156-2025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46286</v>
      </c>
      <c r="F14" t="inlineStr">
        <is>
          <t>ÖSTERGÖTLANDS LÄN</t>
        </is>
      </c>
      <c r="G14" t="inlineStr">
        <is>
          <t>MJÖLBY</t>
        </is>
      </c>
      <c r="I14" t="n">
        <v>3.7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Tvåblad</t>
        </is>
      </c>
      <c r="W14">
        <f>HYPERLINK("https://klasma.github.io/Logging_0586/artfynd/A 46156-2025 artfynd.xlsx", "A 46156-2025")</f>
        <v/>
      </c>
      <c r="X14">
        <f>HYPERLINK("https://klasma.github.io/Logging_0586/kartor/A 46156-2025 karta.png", "A 46156-2025")</f>
        <v/>
      </c>
      <c r="Y14">
        <f>HYPERLINK("https://klasma.github.io/Logging_0586/kartor_geotiff/A 46156-2025 georefererad karta.tif", "A 46156-2025")</f>
        <v/>
      </c>
      <c r="AA14">
        <f>HYPERLINK("https://klasma.github.io/Logging_0586/klagomål/A 46156-2025 FSC-klagomål.docx", "A 46156-2025")</f>
        <v/>
      </c>
      <c r="AB14">
        <f>HYPERLINK("https://klasma.github.io/Logging_0586/klagomålsmail/A 46156-2025 FSC-klagomål mail.docx", "A 46156-2025")</f>
        <v/>
      </c>
      <c r="AC14">
        <f>HYPERLINK("https://klasma.github.io/Logging_0586/tillsyn/A 46156-2025 tillsynsbegäran.docx", "A 46156-2025")</f>
        <v/>
      </c>
      <c r="AD14">
        <f>HYPERLINK("https://klasma.github.io/Logging_0586/tillsynsmail/A 46156-2025 tillsynsbegäran mail.docx", "A 46156-2025")</f>
        <v/>
      </c>
    </row>
    <row r="15" ht="15" customHeight="1">
      <c r="A15" t="inlineStr">
        <is>
          <t>A 46123-2025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45924</v>
      </c>
      <c r="E15" s="1" t="n">
        <v>46286</v>
      </c>
      <c r="F15" t="inlineStr">
        <is>
          <t>ÖSTERGÖTLANDS LÄN</t>
        </is>
      </c>
      <c r="G15" t="inlineStr">
        <is>
          <t>MJÖLBY</t>
        </is>
      </c>
      <c r="I15" t="n">
        <v>5.6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HYPERLINK("https://klasma.github.io/Logging_0586/artfynd/A 46123-2025 artfynd.xlsx", "A 46123-2025")</f>
        <v/>
      </c>
      <c r="X15">
        <f>HYPERLINK("https://klasma.github.io/Logging_0586/kartor/A 46123-2025 karta.png", "A 46123-2025")</f>
        <v/>
      </c>
      <c r="Y15">
        <f>HYPERLINK("https://klasma.github.io/Logging_0586/kartor_geotiff/A 46123-2025 georefererad karta.tif", "A 46123-2025")</f>
        <v/>
      </c>
      <c r="Z15">
        <f>HYPERLINK("https://klasma.github.io/Logging_0586/knärot/A 46123-2025 karta knärot.png", "A 46123-2025")</f>
        <v/>
      </c>
      <c r="AA15">
        <f>HYPERLINK("https://klasma.github.io/Logging_0586/klagomål/A 46123-2025 FSC-klagomål.docx", "A 46123-2025")</f>
        <v/>
      </c>
      <c r="AB15">
        <f>HYPERLINK("https://klasma.github.io/Logging_0586/klagomålsmail/A 46123-2025 FSC-klagomål mail.docx", "A 46123-2025")</f>
        <v/>
      </c>
      <c r="AC15">
        <f>HYPERLINK("https://klasma.github.io/Logging_0586/tillsyn/A 46123-2025 tillsynsbegäran.docx", "A 46123-2025")</f>
        <v/>
      </c>
      <c r="AD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46286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1.2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46522-2025 artfynd.xlsx", "A 46522-2025")</f>
        <v/>
      </c>
      <c r="X16">
        <f>HYPERLINK("https://klasma.github.io/Logging_0586/kartor/A 46522-2025 karta.png", "A 46522-2025")</f>
        <v/>
      </c>
      <c r="Y16">
        <f>HYPERLINK("https://klasma.github.io/Logging_0586/kartor_geotiff/A 46522-2025 georefererad karta.tif", "A 46522-2025")</f>
        <v/>
      </c>
      <c r="AA16">
        <f>HYPERLINK("https://klasma.github.io/Logging_0586/klagomål/A 46522-2025 FSC-klagomål.docx", "A 46522-2025")</f>
        <v/>
      </c>
      <c r="AB16">
        <f>HYPERLINK("https://klasma.github.io/Logging_0586/klagomålsmail/A 46522-2025 FSC-klagomål mail.docx", "A 46522-2025")</f>
        <v/>
      </c>
      <c r="AC16">
        <f>HYPERLINK("https://klasma.github.io/Logging_0586/tillsyn/A 46522-2025 tillsynsbegäran.docx", "A 46522-2025")</f>
        <v/>
      </c>
      <c r="AD16">
        <f>HYPERLINK("https://klasma.github.io/Logging_0586/tillsynsmail/A 46522-2025 tillsynsbegäran mail.docx", "A 46522-2025")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46286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46286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46286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46286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50403-2022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44866</v>
      </c>
      <c r="E21" s="1" t="n">
        <v>46286</v>
      </c>
      <c r="F21" t="inlineStr">
        <is>
          <t>ÖSTERGÖTLANDS LÄN</t>
        </is>
      </c>
      <c r="G21" t="inlineStr">
        <is>
          <t>MJÖLBY</t>
        </is>
      </c>
      <c r="H21" t="inlineStr">
        <is>
          <t>Sveaskog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Springkorn</t>
        </is>
      </c>
      <c r="W21">
        <f>HYPERLINK("https://klasma.github.io/Logging_0586/artfynd/A 50403-2022 artfynd.xlsx", "A 50403-2022")</f>
        <v/>
      </c>
      <c r="X21">
        <f>HYPERLINK("https://klasma.github.io/Logging_0586/kartor/A 50403-2022 karta.png", "A 50403-2022")</f>
        <v/>
      </c>
      <c r="Y21">
        <f>HYPERLINK("https://klasma.github.io/Logging_0586/kartor_geotiff/A 50403-2022 georefererad karta.tif", "A 50403-2022")</f>
        <v/>
      </c>
      <c r="AA21">
        <f>HYPERLINK("https://klasma.github.io/Logging_0586/klagomål/A 50403-2022 FSC-klagomål.docx", "A 50403-2022")</f>
        <v/>
      </c>
      <c r="AB21">
        <f>HYPERLINK("https://klasma.github.io/Logging_0586/klagomålsmail/A 50403-2022 FSC-klagomål mail.docx", "A 50403-2022")</f>
        <v/>
      </c>
      <c r="AC21">
        <f>HYPERLINK("https://klasma.github.io/Logging_0586/tillsyn/A 50403-2022 tillsynsbegäran.docx", "A 50403-2022")</f>
        <v/>
      </c>
      <c r="AD21">
        <f>HYPERLINK("https://klasma.github.io/Logging_0586/tillsynsmail/A 50403-2022 tillsynsbegäran mail.docx", "A 50403-2022")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46286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46286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46286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32573-2026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46286</v>
      </c>
      <c r="F25" t="inlineStr">
        <is>
          <t>ÖSTERGÖTLANDS LÄN</t>
        </is>
      </c>
      <c r="G25" t="inlineStr">
        <is>
          <t>MJÖLBY</t>
        </is>
      </c>
      <c r="H25" t="inlineStr">
        <is>
          <t>Övriga Aktiebolag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HYPERLINK("https://klasma.github.io/Logging_0586/artfynd/A 32573-2026 artfynd.xlsx", "A 32573-2026")</f>
        <v/>
      </c>
      <c r="X25">
        <f>HYPERLINK("https://klasma.github.io/Logging_0586/kartor/A 32573-2026 karta.png", "A 32573-2026")</f>
        <v/>
      </c>
      <c r="Y25">
        <f>HYPERLINK("https://klasma.github.io/Logging_0586/kartor_geotiff/A 32573-2026 georefererad karta.tif", "A 32573-2026")</f>
        <v/>
      </c>
      <c r="AA25">
        <f>HYPERLINK("https://klasma.github.io/Logging_0586/klagomål/A 32573-2026 FSC-klagomål.docx", "A 32573-2026")</f>
        <v/>
      </c>
      <c r="AB25">
        <f>HYPERLINK("https://klasma.github.io/Logging_0586/klagomålsmail/A 32573-2026 FSC-klagomål mail.docx", "A 32573-2026")</f>
        <v/>
      </c>
      <c r="AC25">
        <f>HYPERLINK("https://klasma.github.io/Logging_0586/tillsyn/A 32573-2026 tillsynsbegäran.docx", "A 32573-2026")</f>
        <v/>
      </c>
      <c r="AD25">
        <f>HYPERLINK("https://klasma.github.io/Logging_0586/tillsynsmail/A 32573-2026 tillsynsbegäran mail.docx", "A 32573-2026")</f>
        <v/>
      </c>
    </row>
    <row r="26" ht="15" customHeight="1">
      <c r="A26" t="inlineStr">
        <is>
          <t>A 32554-2026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46286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Purpurknipprot</t>
        </is>
      </c>
      <c r="W26">
        <f>HYPERLINK("https://klasma.github.io/Logging_0586/artfynd/A 32554-2026 artfynd.xlsx", "A 32554-2026")</f>
        <v/>
      </c>
      <c r="X26">
        <f>HYPERLINK("https://klasma.github.io/Logging_0586/kartor/A 32554-2026 karta.png", "A 32554-2026")</f>
        <v/>
      </c>
      <c r="Y26">
        <f>HYPERLINK("https://klasma.github.io/Logging_0586/kartor_geotiff/A 32554-2026 georefererad karta.tif", "A 32554-2026")</f>
        <v/>
      </c>
      <c r="AA26">
        <f>HYPERLINK("https://klasma.github.io/Logging_0586/klagomål/A 32554-2026 FSC-klagomål.docx", "A 32554-2026")</f>
        <v/>
      </c>
      <c r="AB26">
        <f>HYPERLINK("https://klasma.github.io/Logging_0586/klagomålsmail/A 32554-2026 FSC-klagomål mail.docx", "A 32554-2026")</f>
        <v/>
      </c>
      <c r="AC26">
        <f>HYPERLINK("https://klasma.github.io/Logging_0586/tillsyn/A 32554-2026 tillsynsbegäran.docx", "A 32554-2026")</f>
        <v/>
      </c>
      <c r="AD26">
        <f>HYPERLINK("https://klasma.github.io/Logging_0586/tillsynsmail/A 32554-2026 tillsynsbegäran mail.docx", "A 32554-2026")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46286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46286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46286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46286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46286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46286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46286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46286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46286</v>
      </c>
      <c r="F35" t="inlineStr">
        <is>
          <t>ÖSTERGÖTLANDS LÄN</t>
        </is>
      </c>
      <c r="G35" t="inlineStr">
        <is>
          <t>MJÖLBY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45009</v>
      </c>
      <c r="E36" s="1" t="n">
        <v>46286</v>
      </c>
      <c r="F36" t="inlineStr">
        <is>
          <t>ÖSTERGÖTLANDS LÄN</t>
        </is>
      </c>
      <c r="G36" t="inlineStr">
        <is>
          <t>MJÖLBY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46286</v>
      </c>
      <c r="F37" t="inlineStr">
        <is>
          <t>ÖSTERGÖTLANDS LÄN</t>
        </is>
      </c>
      <c r="G37" t="inlineStr">
        <is>
          <t>MJÖLBY</t>
        </is>
      </c>
      <c r="H37" t="inlineStr">
        <is>
          <t>Allmännings- och besparingsskogar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46286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50901-2024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46286</v>
      </c>
      <c r="F39" t="inlineStr">
        <is>
          <t>ÖSTERGÖTLANDS LÄN</t>
        </is>
      </c>
      <c r="G39" t="inlineStr">
        <is>
          <t>MJÖLBY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46286</v>
      </c>
      <c r="F40" t="inlineStr">
        <is>
          <t>ÖSTERGÖTLANDS LÄN</t>
        </is>
      </c>
      <c r="G40" t="inlineStr">
        <is>
          <t>MJÖLBY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43012-2024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45567</v>
      </c>
      <c r="E41" s="1" t="n">
        <v>46286</v>
      </c>
      <c r="F41" t="inlineStr">
        <is>
          <t>ÖSTERGÖTLANDS LÄN</t>
        </is>
      </c>
      <c r="G41" t="inlineStr">
        <is>
          <t>MJÖLBY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16304-2024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45407</v>
      </c>
      <c r="E42" s="1" t="n">
        <v>46286</v>
      </c>
      <c r="F42" t="inlineStr">
        <is>
          <t>ÖSTERGÖTLANDS LÄN</t>
        </is>
      </c>
      <c r="G42" t="inlineStr">
        <is>
          <t>MJÖLBY</t>
        </is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46286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22328-2024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46286</v>
      </c>
      <c r="F44" t="inlineStr">
        <is>
          <t>ÖSTERGÖTLANDS LÄN</t>
        </is>
      </c>
      <c r="G44" t="inlineStr">
        <is>
          <t>MJÖLBY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45282</v>
      </c>
      <c r="E45" s="1" t="n">
        <v>46286</v>
      </c>
      <c r="F45" t="inlineStr">
        <is>
          <t>ÖSTERGÖTLANDS LÄN</t>
        </is>
      </c>
      <c r="G45" t="inlineStr">
        <is>
          <t>MJÖLBY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46286</v>
      </c>
      <c r="F46" t="inlineStr">
        <is>
          <t>ÖSTERGÖTLANDS LÄN</t>
        </is>
      </c>
      <c r="G46" t="inlineStr">
        <is>
          <t>MJÖLBY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40667-2023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46286</v>
      </c>
      <c r="F47" t="inlineStr">
        <is>
          <t>ÖSTERGÖTLANDS LÄN</t>
        </is>
      </c>
      <c r="G47" t="inlineStr">
        <is>
          <t>MJÖLBY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9125-2023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44980</v>
      </c>
      <c r="E48" s="1" t="n">
        <v>46286</v>
      </c>
      <c r="F48" t="inlineStr">
        <is>
          <t>ÖSTERGÖTLANDS LÄN</t>
        </is>
      </c>
      <c r="G48" t="inlineStr">
        <is>
          <t>MJÖLBY</t>
        </is>
      </c>
      <c r="H48" t="inlineStr">
        <is>
          <t>Kyrkan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46286</v>
      </c>
      <c r="F49" t="inlineStr">
        <is>
          <t>ÖSTERGÖTLANDS LÄN</t>
        </is>
      </c>
      <c r="G49" t="inlineStr">
        <is>
          <t>MJÖLBY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15783-2022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46286</v>
      </c>
      <c r="F50" t="inlineStr">
        <is>
          <t>ÖSTERGÖTLANDS LÄN</t>
        </is>
      </c>
      <c r="G50" t="inlineStr">
        <is>
          <t>MJÖLBY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45208</v>
      </c>
      <c r="E51" s="1" t="n">
        <v>46286</v>
      </c>
      <c r="F51" t="inlineStr">
        <is>
          <t>ÖSTERGÖTLANDS LÄN</t>
        </is>
      </c>
      <c r="G51" t="inlineStr">
        <is>
          <t>MJÖLBY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51475-2023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45221</v>
      </c>
      <c r="E52" s="1" t="n">
        <v>46286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44971</v>
      </c>
      <c r="E53" s="1" t="n">
        <v>46286</v>
      </c>
      <c r="F53" t="inlineStr">
        <is>
          <t>ÖSTERGÖTLANDS LÄN</t>
        </is>
      </c>
      <c r="G53" t="inlineStr">
        <is>
          <t>MJÖLBY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58412-2023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45250</v>
      </c>
      <c r="E54" s="1" t="n">
        <v>46286</v>
      </c>
      <c r="F54" t="inlineStr">
        <is>
          <t>ÖSTERGÖTLANDS LÄN</t>
        </is>
      </c>
      <c r="G54" t="inlineStr">
        <is>
          <t>MJÖLBY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63449-2023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45273</v>
      </c>
      <c r="E55" s="1" t="n">
        <v>46286</v>
      </c>
      <c r="F55" t="inlineStr">
        <is>
          <t>ÖSTERGÖTLANDS LÄN</t>
        </is>
      </c>
      <c r="G55" t="inlineStr">
        <is>
          <t>MJÖLBY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45681</v>
      </c>
      <c r="E56" s="1" t="n">
        <v>46286</v>
      </c>
      <c r="F56" t="inlineStr">
        <is>
          <t>ÖSTERGÖTLANDS LÄN</t>
        </is>
      </c>
      <c r="G56" t="inlineStr">
        <is>
          <t>MJÖLBY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45674</v>
      </c>
      <c r="E57" s="1" t="n">
        <v>46286</v>
      </c>
      <c r="F57" t="inlineStr">
        <is>
          <t>ÖSTERGÖTLANDS LÄN</t>
        </is>
      </c>
      <c r="G57" t="inlineStr">
        <is>
          <t>MJÖLBY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65921-2021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46286</v>
      </c>
      <c r="F58" t="inlineStr">
        <is>
          <t>ÖSTERGÖTLANDS LÄN</t>
        </is>
      </c>
      <c r="G58" t="inlineStr">
        <is>
          <t>MJÖLBY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44473</v>
      </c>
      <c r="E59" s="1" t="n">
        <v>46286</v>
      </c>
      <c r="F59" t="inlineStr">
        <is>
          <t>ÖSTERGÖTLANDS LÄN</t>
        </is>
      </c>
      <c r="G59" t="inlineStr">
        <is>
          <t>MJÖLBY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45208</v>
      </c>
      <c r="E60" s="1" t="n">
        <v>46286</v>
      </c>
      <c r="F60" t="inlineStr">
        <is>
          <t>ÖSTERGÖTLANDS LÄN</t>
        </is>
      </c>
      <c r="G60" t="inlineStr">
        <is>
          <t>MJÖLBY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46286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41105-2025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46286</v>
      </c>
      <c r="F62" t="inlineStr">
        <is>
          <t>ÖSTERGÖTLANDS LÄN</t>
        </is>
      </c>
      <c r="G62" t="inlineStr">
        <is>
          <t>MJÖLBY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44936</v>
      </c>
      <c r="E63" s="1" t="n">
        <v>46286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45892</v>
      </c>
      <c r="E64" s="1" t="n">
        <v>46286</v>
      </c>
      <c r="F64" t="inlineStr">
        <is>
          <t>ÖSTERGÖTLANDS LÄN</t>
        </is>
      </c>
      <c r="G64" t="inlineStr">
        <is>
          <t>MJÖLBY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46286</v>
      </c>
      <c r="F65" t="inlineStr">
        <is>
          <t>ÖSTERGÖTLANDS LÄN</t>
        </is>
      </c>
      <c r="G65" t="inlineStr">
        <is>
          <t>MJÖLBY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45174</v>
      </c>
      <c r="E66" s="1" t="n">
        <v>46286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46286</v>
      </c>
      <c r="F67" t="inlineStr">
        <is>
          <t>ÖSTERGÖTLANDS LÄN</t>
        </is>
      </c>
      <c r="G67" t="inlineStr">
        <is>
          <t>MJÖLBY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46286</v>
      </c>
      <c r="F68" t="inlineStr">
        <is>
          <t>ÖSTERGÖTLANDS LÄN</t>
        </is>
      </c>
      <c r="G68" t="inlineStr">
        <is>
          <t>MJÖLBY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46286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46286</v>
      </c>
      <c r="F70" t="inlineStr">
        <is>
          <t>ÖSTERGÖTLANDS LÄN</t>
        </is>
      </c>
      <c r="G70" t="inlineStr">
        <is>
          <t>MJÖLBY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44768</v>
      </c>
      <c r="E71" s="1" t="n">
        <v>46286</v>
      </c>
      <c r="F71" t="inlineStr">
        <is>
          <t>ÖSTERGÖTLANDS LÄN</t>
        </is>
      </c>
      <c r="G71" t="inlineStr">
        <is>
          <t>MJÖLBY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45909</v>
      </c>
      <c r="E72" s="1" t="n">
        <v>46286</v>
      </c>
      <c r="F72" t="inlineStr">
        <is>
          <t>ÖSTERGÖTLANDS LÄN</t>
        </is>
      </c>
      <c r="G72" t="inlineStr">
        <is>
          <t>MJÖLBY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46286</v>
      </c>
      <c r="F73" t="inlineStr">
        <is>
          <t>ÖSTERGÖTLANDS LÄN</t>
        </is>
      </c>
      <c r="G73" t="inlineStr">
        <is>
          <t>MJÖLBY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46007</v>
      </c>
      <c r="E74" s="1" t="n">
        <v>46286</v>
      </c>
      <c r="F74" t="inlineStr">
        <is>
          <t>ÖSTERGÖTLANDS LÄN</t>
        </is>
      </c>
      <c r="G74" t="inlineStr">
        <is>
          <t>MJÖLBY</t>
        </is>
      </c>
      <c r="H74" t="inlineStr">
        <is>
          <t>Kommuner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11944-2024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45376</v>
      </c>
      <c r="E75" s="1" t="n">
        <v>46286</v>
      </c>
      <c r="F75" t="inlineStr">
        <is>
          <t>ÖSTERGÖTLANDS LÄN</t>
        </is>
      </c>
      <c r="G75" t="inlineStr">
        <is>
          <t>MJÖLBY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46286</v>
      </c>
      <c r="F76" t="inlineStr">
        <is>
          <t>ÖSTERGÖTLANDS LÄN</t>
        </is>
      </c>
      <c r="G76" t="inlineStr">
        <is>
          <t>MJÖLBY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46286</v>
      </c>
      <c r="F77" t="inlineStr">
        <is>
          <t>ÖSTERGÖTLANDS LÄN</t>
        </is>
      </c>
      <c r="G77" t="inlineStr">
        <is>
          <t>MJÖLBY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45681</v>
      </c>
      <c r="E78" s="1" t="n">
        <v>46286</v>
      </c>
      <c r="F78" t="inlineStr">
        <is>
          <t>ÖSTERGÖTLANDS LÄN</t>
        </is>
      </c>
      <c r="G78" t="inlineStr">
        <is>
          <t>MJÖLBY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46286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46286</v>
      </c>
      <c r="F80" t="inlineStr">
        <is>
          <t>ÖSTERGÖTLANDS LÄN</t>
        </is>
      </c>
      <c r="G80" t="inlineStr">
        <is>
          <t>MJÖLBY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46286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46286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46286</v>
      </c>
      <c r="F83" t="inlineStr">
        <is>
          <t>ÖSTERGÖTLANDS LÄN</t>
        </is>
      </c>
      <c r="G83" t="inlineStr">
        <is>
          <t>MJÖLBY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46286</v>
      </c>
      <c r="F84" t="inlineStr">
        <is>
          <t>ÖSTERGÖTLANDS LÄN</t>
        </is>
      </c>
      <c r="G84" t="inlineStr">
        <is>
          <t>MJÖLBY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45301</v>
      </c>
      <c r="E85" s="1" t="n">
        <v>46286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45666</v>
      </c>
      <c r="E86" s="1" t="n">
        <v>46286</v>
      </c>
      <c r="F86" t="inlineStr">
        <is>
          <t>ÖSTERGÖTLANDS LÄN</t>
        </is>
      </c>
      <c r="G86" t="inlineStr">
        <is>
          <t>MJÖLBY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62570-2023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45269</v>
      </c>
      <c r="E87" s="1" t="n">
        <v>46286</v>
      </c>
      <c r="F87" t="inlineStr">
        <is>
          <t>ÖSTERGÖTLANDS LÄN</t>
        </is>
      </c>
      <c r="G87" t="inlineStr">
        <is>
          <t>MJÖLBY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45602</v>
      </c>
      <c r="E88" s="1" t="n">
        <v>46286</v>
      </c>
      <c r="F88" t="inlineStr">
        <is>
          <t>ÖSTERGÖTLANDS LÄN</t>
        </is>
      </c>
      <c r="G88" t="inlineStr">
        <is>
          <t>MJÖLBY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45602</v>
      </c>
      <c r="E89" s="1" t="n">
        <v>46286</v>
      </c>
      <c r="F89" t="inlineStr">
        <is>
          <t>ÖSTERGÖTLANDS LÄN</t>
        </is>
      </c>
      <c r="G89" t="inlineStr">
        <is>
          <t>MJÖLBY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46148</v>
      </c>
      <c r="E90" s="1" t="n">
        <v>46286</v>
      </c>
      <c r="F90" t="inlineStr">
        <is>
          <t>ÖSTERGÖTLANDS LÄN</t>
        </is>
      </c>
      <c r="G90" t="inlineStr">
        <is>
          <t>MJÖLBY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46286</v>
      </c>
      <c r="F91" t="inlineStr">
        <is>
          <t>ÖSTERGÖTLANDS LÄN</t>
        </is>
      </c>
      <c r="G91" t="inlineStr">
        <is>
          <t>MJÖLBY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46286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44946</v>
      </c>
      <c r="E93" s="1" t="n">
        <v>46286</v>
      </c>
      <c r="F93" t="inlineStr">
        <is>
          <t>ÖSTERGÖTLANDS LÄN</t>
        </is>
      </c>
      <c r="G93" t="inlineStr">
        <is>
          <t>MJÖLBY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32581-2025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46286</v>
      </c>
      <c r="F94" t="inlineStr">
        <is>
          <t>ÖSTERGÖTLANDS LÄN</t>
        </is>
      </c>
      <c r="G94" t="inlineStr">
        <is>
          <t>MJÖLBY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4314-2024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45324</v>
      </c>
      <c r="E95" s="1" t="n">
        <v>46286</v>
      </c>
      <c r="F95" t="inlineStr">
        <is>
          <t>ÖSTERGÖTLANDS LÄN</t>
        </is>
      </c>
      <c r="G95" t="inlineStr">
        <is>
          <t>MJÖLBY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46286</v>
      </c>
      <c r="F96" t="inlineStr">
        <is>
          <t>ÖSTERGÖTLANDS LÄN</t>
        </is>
      </c>
      <c r="G96" t="inlineStr">
        <is>
          <t>MJÖLBY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46286</v>
      </c>
      <c r="F97" t="inlineStr">
        <is>
          <t>ÖSTERGÖTLANDS LÄN</t>
        </is>
      </c>
      <c r="G97" t="inlineStr">
        <is>
          <t>MJÖLBY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44769-2025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45917</v>
      </c>
      <c r="E98" s="1" t="n">
        <v>46286</v>
      </c>
      <c r="F98" t="inlineStr">
        <is>
          <t>ÖSTERGÖTLANDS LÄN</t>
        </is>
      </c>
      <c r="G98" t="inlineStr">
        <is>
          <t>MJÖLBY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44770-2025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45917</v>
      </c>
      <c r="E99" s="1" t="n">
        <v>46286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46286</v>
      </c>
      <c r="F100" t="inlineStr">
        <is>
          <t>ÖSTERGÖTLANDS LÄN</t>
        </is>
      </c>
      <c r="G100" t="inlineStr">
        <is>
          <t>MJÖLBY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46286</v>
      </c>
      <c r="F101" t="inlineStr">
        <is>
          <t>ÖSTERGÖTLANDS LÄN</t>
        </is>
      </c>
      <c r="G101" t="inlineStr">
        <is>
          <t>MJÖLBY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45176</v>
      </c>
      <c r="E102" s="1" t="n">
        <v>46286</v>
      </c>
      <c r="F102" t="inlineStr">
        <is>
          <t>ÖSTERGÖTLANDS LÄN</t>
        </is>
      </c>
      <c r="G102" t="inlineStr">
        <is>
          <t>MJÖLBY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58415-2021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46286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45979</v>
      </c>
      <c r="E104" s="1" t="n">
        <v>46286</v>
      </c>
      <c r="F104" t="inlineStr">
        <is>
          <t>ÖSTERGÖTLANDS LÄN</t>
        </is>
      </c>
      <c r="G104" t="inlineStr">
        <is>
          <t>MJÖLBY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46286</v>
      </c>
      <c r="F105" t="inlineStr">
        <is>
          <t>ÖSTERGÖTLANDS LÄN</t>
        </is>
      </c>
      <c r="G105" t="inlineStr">
        <is>
          <t>MJÖLBY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45446</v>
      </c>
      <c r="E106" s="1" t="n">
        <v>46286</v>
      </c>
      <c r="F106" t="inlineStr">
        <is>
          <t>ÖSTERGÖTLANDS LÄN</t>
        </is>
      </c>
      <c r="G106" t="inlineStr">
        <is>
          <t>MJÖLBY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45982</v>
      </c>
      <c r="E107" s="1" t="n">
        <v>46286</v>
      </c>
      <c r="F107" t="inlineStr">
        <is>
          <t>ÖSTERGÖTLANDS LÄN</t>
        </is>
      </c>
      <c r="G107" t="inlineStr">
        <is>
          <t>MJÖLBY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46286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46286</v>
      </c>
      <c r="F109" t="inlineStr">
        <is>
          <t>ÖSTERGÖTLANDS LÄN</t>
        </is>
      </c>
      <c r="G109" t="inlineStr">
        <is>
          <t>MJÖLBY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44792</v>
      </c>
      <c r="E110" s="1" t="n">
        <v>46286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46286</v>
      </c>
      <c r="F111" t="inlineStr">
        <is>
          <t>ÖSTERGÖTLANDS LÄN</t>
        </is>
      </c>
      <c r="G111" t="inlineStr">
        <is>
          <t>MJÖLBY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46286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45988</v>
      </c>
      <c r="E113" s="1" t="n">
        <v>46286</v>
      </c>
      <c r="F113" t="inlineStr">
        <is>
          <t>ÖSTERGÖTLANDS LÄN</t>
        </is>
      </c>
      <c r="G113" t="inlineStr">
        <is>
          <t>MJÖLBY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46286</v>
      </c>
      <c r="F114" t="inlineStr">
        <is>
          <t>ÖSTERGÖTLANDS LÄN</t>
        </is>
      </c>
      <c r="G114" t="inlineStr">
        <is>
          <t>MJÖLBY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45261</v>
      </c>
      <c r="E115" s="1" t="n">
        <v>46286</v>
      </c>
      <c r="F115" t="inlineStr">
        <is>
          <t>ÖSTERGÖTLANDS LÄN</t>
        </is>
      </c>
      <c r="G115" t="inlineStr">
        <is>
          <t>MJÖLBY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46006</v>
      </c>
      <c r="E116" s="1" t="n">
        <v>46286</v>
      </c>
      <c r="F116" t="inlineStr">
        <is>
          <t>ÖSTERGÖTLANDS LÄN</t>
        </is>
      </c>
      <c r="G116" t="inlineStr">
        <is>
          <t>MJÖLBY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46286</v>
      </c>
      <c r="F117" t="inlineStr">
        <is>
          <t>ÖSTERGÖTLANDS LÄN</t>
        </is>
      </c>
      <c r="G117" t="inlineStr">
        <is>
          <t>MJÖLBY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46007</v>
      </c>
      <c r="E118" s="1" t="n">
        <v>46286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45666</v>
      </c>
      <c r="E119" s="1" t="n">
        <v>46286</v>
      </c>
      <c r="F119" t="inlineStr">
        <is>
          <t>ÖSTERGÖTLANDS LÄN</t>
        </is>
      </c>
      <c r="G119" t="inlineStr">
        <is>
          <t>MJÖLBY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46286</v>
      </c>
      <c r="F120" t="inlineStr">
        <is>
          <t>ÖSTERGÖTLANDS LÄN</t>
        </is>
      </c>
      <c r="G120" t="inlineStr">
        <is>
          <t>MJÖLBY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46168</v>
      </c>
      <c r="E121" s="1" t="n">
        <v>46286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46286</v>
      </c>
      <c r="F122" t="inlineStr">
        <is>
          <t>ÖSTERGÖTLANDS LÄN</t>
        </is>
      </c>
      <c r="G122" t="inlineStr">
        <is>
          <t>MJÖLBY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46286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46174</v>
      </c>
      <c r="E124" s="1" t="n">
        <v>46286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Övriga Aktiebolag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46171</v>
      </c>
      <c r="E125" s="1" t="n">
        <v>46286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46286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24894-2026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46286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46174</v>
      </c>
      <c r="E128" s="1" t="n">
        <v>46286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46174</v>
      </c>
      <c r="E129" s="1" t="n">
        <v>46286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24903-2026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46174</v>
      </c>
      <c r="E130" s="1" t="n">
        <v>46286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64934-2023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46286</v>
      </c>
      <c r="F131" t="inlineStr">
        <is>
          <t>ÖSTERGÖTLANDS LÄN</t>
        </is>
      </c>
      <c r="G131" t="inlineStr">
        <is>
          <t>MJÖLBY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45159</v>
      </c>
      <c r="E132" s="1" t="n">
        <v>46286</v>
      </c>
      <c r="F132" t="inlineStr">
        <is>
          <t>ÖSTERGÖTLANDS LÄN</t>
        </is>
      </c>
      <c r="G132" t="inlineStr">
        <is>
          <t>MJÖLBY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45673</v>
      </c>
      <c r="E133" s="1" t="n">
        <v>46286</v>
      </c>
      <c r="F133" t="inlineStr">
        <is>
          <t>ÖSTERGÖTLANDS LÄN</t>
        </is>
      </c>
      <c r="G133" t="inlineStr">
        <is>
          <t>MJÖLBY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46286</v>
      </c>
      <c r="F134" t="inlineStr">
        <is>
          <t>ÖSTERGÖTLANDS LÄN</t>
        </is>
      </c>
      <c r="G134" t="inlineStr">
        <is>
          <t>MJÖLBY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46286</v>
      </c>
      <c r="F135" t="inlineStr">
        <is>
          <t>ÖSTERGÖTLANDS LÄN</t>
        </is>
      </c>
      <c r="G135" t="inlineStr">
        <is>
          <t>MJÖLBY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59410-2022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44907</v>
      </c>
      <c r="E136" s="1" t="n">
        <v>46286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59411-2022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44907</v>
      </c>
      <c r="E137" s="1" t="n">
        <v>46286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45677</v>
      </c>
      <c r="E138" s="1" t="n">
        <v>46286</v>
      </c>
      <c r="F138" t="inlineStr">
        <is>
          <t>ÖSTERGÖTLANDS LÄN</t>
        </is>
      </c>
      <c r="G138" t="inlineStr">
        <is>
          <t>MJÖLBY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46286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45525</v>
      </c>
      <c r="E140" s="1" t="n">
        <v>46286</v>
      </c>
      <c r="F140" t="inlineStr">
        <is>
          <t>ÖSTERGÖTLANDS LÄN</t>
        </is>
      </c>
      <c r="G140" t="inlineStr">
        <is>
          <t>MJÖLBY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46286</v>
      </c>
      <c r="F141" t="inlineStr">
        <is>
          <t>ÖSTERGÖTLANDS LÄN</t>
        </is>
      </c>
      <c r="G141" t="inlineStr">
        <is>
          <t>MJÖLBY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46286</v>
      </c>
      <c r="F142" t="inlineStr">
        <is>
          <t>ÖSTERGÖTLANDS LÄN</t>
        </is>
      </c>
      <c r="G142" t="inlineStr">
        <is>
          <t>MJÖLBY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46286</v>
      </c>
      <c r="F143" t="inlineStr">
        <is>
          <t>ÖSTERGÖTLANDS LÄN</t>
        </is>
      </c>
      <c r="G143" t="inlineStr">
        <is>
          <t>MJÖLBY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46286</v>
      </c>
      <c r="F144" t="inlineStr">
        <is>
          <t>ÖSTERGÖTLANDS LÄN</t>
        </is>
      </c>
      <c r="G144" t="inlineStr">
        <is>
          <t>MJÖLBY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46286</v>
      </c>
      <c r="F145" t="inlineStr">
        <is>
          <t>ÖSTERGÖTLANDS LÄN</t>
        </is>
      </c>
      <c r="G145" t="inlineStr">
        <is>
          <t>MJÖLBY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46286</v>
      </c>
      <c r="F146" t="inlineStr">
        <is>
          <t>ÖSTERGÖTLANDS LÄN</t>
        </is>
      </c>
      <c r="G146" t="inlineStr">
        <is>
          <t>MJÖLBY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27126-2026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46188</v>
      </c>
      <c r="E147" s="1" t="n">
        <v>46286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46286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52655-2023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45225</v>
      </c>
      <c r="E149" s="1" t="n">
        <v>46286</v>
      </c>
      <c r="F149" t="inlineStr">
        <is>
          <t>ÖSTERGÖTLANDS LÄN</t>
        </is>
      </c>
      <c r="G149" t="inlineStr">
        <is>
          <t>MJÖLBY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45085</v>
      </c>
      <c r="E150" s="1" t="n">
        <v>46286</v>
      </c>
      <c r="F150" t="inlineStr">
        <is>
          <t>ÖSTERGÖTLANDS LÄN</t>
        </is>
      </c>
      <c r="G150" t="inlineStr">
        <is>
          <t>MJÖLBY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46286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Kyrkan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46286</v>
      </c>
      <c r="F152" t="inlineStr">
        <is>
          <t>ÖSTERGÖTLANDS LÄN</t>
        </is>
      </c>
      <c r="G152" t="inlineStr">
        <is>
          <t>MJÖLBY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46104</v>
      </c>
      <c r="E153" s="1" t="n">
        <v>46286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46104</v>
      </c>
      <c r="E154" s="1" t="n">
        <v>46286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46286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68095-2021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44526</v>
      </c>
      <c r="E156" s="1" t="n">
        <v>46286</v>
      </c>
      <c r="F156" t="inlineStr">
        <is>
          <t>ÖSTERGÖTLANDS LÄN</t>
        </is>
      </c>
      <c r="G156" t="inlineStr">
        <is>
          <t>MJÖLBY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46108</v>
      </c>
      <c r="E157" s="1" t="n">
        <v>46286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46286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46286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44903</v>
      </c>
      <c r="E160" s="1" t="n">
        <v>46286</v>
      </c>
      <c r="F160" t="inlineStr">
        <is>
          <t>ÖSTERGÖTLANDS LÄN</t>
        </is>
      </c>
      <c r="G160" t="inlineStr">
        <is>
          <t>MJÖLBY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46244</v>
      </c>
      <c r="E161" s="1" t="n">
        <v>46286</v>
      </c>
      <c r="F161" t="inlineStr">
        <is>
          <t>ÖSTERGÖTLANDS LÄN</t>
        </is>
      </c>
      <c r="G161" t="inlineStr">
        <is>
          <t>MJÖLBY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44957</v>
      </c>
      <c r="E162" s="1" t="n">
        <v>46286</v>
      </c>
      <c r="F162" t="inlineStr">
        <is>
          <t>ÖSTERGÖTLANDS LÄN</t>
        </is>
      </c>
      <c r="G162" t="inlineStr">
        <is>
          <t>MJÖLBY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46286</v>
      </c>
      <c r="F163" t="inlineStr">
        <is>
          <t>ÖSTERGÖTLANDS LÄN</t>
        </is>
      </c>
      <c r="G163" t="inlineStr">
        <is>
          <t>MJÖLBY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46121</v>
      </c>
      <c r="E164" s="1" t="n">
        <v>46286</v>
      </c>
      <c r="F164" t="inlineStr">
        <is>
          <t>ÖSTERGÖTLANDS LÄN</t>
        </is>
      </c>
      <c r="G164" t="inlineStr">
        <is>
          <t>MJÖLBY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51630-2021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44462</v>
      </c>
      <c r="E165" s="1" t="n">
        <v>46286</v>
      </c>
      <c r="F165" t="inlineStr">
        <is>
          <t>ÖSTERGÖTLANDS LÄN</t>
        </is>
      </c>
      <c r="G165" t="inlineStr">
        <is>
          <t>MJÖLBY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46286</v>
      </c>
      <c r="F166" t="inlineStr">
        <is>
          <t>ÖSTERGÖTLANDS LÄN</t>
        </is>
      </c>
      <c r="G166" t="inlineStr">
        <is>
          <t>MJÖLBY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46286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45401</v>
      </c>
      <c r="E168" s="1" t="n">
        <v>46286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45580</v>
      </c>
      <c r="E169" s="1" t="n">
        <v>46286</v>
      </c>
      <c r="F169" t="inlineStr">
        <is>
          <t>ÖSTERGÖTLANDS LÄN</t>
        </is>
      </c>
      <c r="G169" t="inlineStr">
        <is>
          <t>MJÖLBY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46286</v>
      </c>
      <c r="F170" t="inlineStr">
        <is>
          <t>ÖSTERGÖTLANDS LÄN</t>
        </is>
      </c>
      <c r="G170" t="inlineStr">
        <is>
          <t>MJÖLBY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45602</v>
      </c>
      <c r="E171" s="1" t="n">
        <v>46286</v>
      </c>
      <c r="F171" t="inlineStr">
        <is>
          <t>ÖSTERGÖTLANDS LÄN</t>
        </is>
      </c>
      <c r="G171" t="inlineStr">
        <is>
          <t>MJÖLBY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46286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46286</v>
      </c>
      <c r="F173" t="inlineStr">
        <is>
          <t>ÖSTERGÖTLANDS LÄN</t>
        </is>
      </c>
      <c r="G173" t="inlineStr">
        <is>
          <t>MJÖLBY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46286</v>
      </c>
      <c r="F174" t="inlineStr">
        <is>
          <t>ÖSTERGÖTLANDS LÄN</t>
        </is>
      </c>
      <c r="G174" t="inlineStr">
        <is>
          <t>MJÖLBY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45146</v>
      </c>
      <c r="E175" s="1" t="n">
        <v>46286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46286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45259</v>
      </c>
      <c r="E177" s="1" t="n">
        <v>46286</v>
      </c>
      <c r="F177" t="inlineStr">
        <is>
          <t>ÖSTERGÖTLANDS LÄN</t>
        </is>
      </c>
      <c r="G177" t="inlineStr">
        <is>
          <t>MJÖLBY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46286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72558-2021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44546</v>
      </c>
      <c r="E179" s="1" t="n">
        <v>46286</v>
      </c>
      <c r="F179" t="inlineStr">
        <is>
          <t>ÖSTERGÖTLANDS LÄN</t>
        </is>
      </c>
      <c r="G179" t="inlineStr">
        <is>
          <t>MJÖLBY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46286</v>
      </c>
      <c r="F180" t="inlineStr">
        <is>
          <t>ÖSTERGÖTLANDS LÄN</t>
        </is>
      </c>
      <c r="G180" t="inlineStr">
        <is>
          <t>MJÖLBY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46216</v>
      </c>
      <c r="E181" s="1" t="n">
        <v>46286</v>
      </c>
      <c r="F181" t="inlineStr">
        <is>
          <t>ÖSTERGÖTLANDS LÄN</t>
        </is>
      </c>
      <c r="G181" t="inlineStr">
        <is>
          <t>MJÖLBY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45146</v>
      </c>
      <c r="E182" s="1" t="n">
        <v>46286</v>
      </c>
      <c r="F182" t="inlineStr">
        <is>
          <t>ÖSTERGÖTLANDS LÄN</t>
        </is>
      </c>
      <c r="G182" t="inlineStr">
        <is>
          <t>MJÖLBY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45293</v>
      </c>
      <c r="E183" s="1" t="n">
        <v>46286</v>
      </c>
      <c r="F183" t="inlineStr">
        <is>
          <t>ÖSTERGÖTLANDS LÄN</t>
        </is>
      </c>
      <c r="G183" t="inlineStr">
        <is>
          <t>MJÖLBY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34794-2026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46258</v>
      </c>
      <c r="E184" s="1" t="n">
        <v>46286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46258</v>
      </c>
      <c r="E185" s="1" t="n">
        <v>46286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46258</v>
      </c>
      <c r="E186" s="1" t="n">
        <v>46286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46217</v>
      </c>
      <c r="E187" s="1" t="n">
        <v>46286</v>
      </c>
      <c r="F187" t="inlineStr">
        <is>
          <t>ÖSTERGÖTLANDS LÄN</t>
        </is>
      </c>
      <c r="G187" t="inlineStr">
        <is>
          <t>MJÖLBY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46217</v>
      </c>
      <c r="E188" s="1" t="n">
        <v>46286</v>
      </c>
      <c r="F188" t="inlineStr">
        <is>
          <t>ÖSTERGÖTLANDS LÄN</t>
        </is>
      </c>
      <c r="G188" t="inlineStr">
        <is>
          <t>MJÖLBY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66977-2021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46286</v>
      </c>
      <c r="F189" t="inlineStr">
        <is>
          <t>ÖSTERGÖTLANDS LÄN</t>
        </is>
      </c>
      <c r="G189" t="inlineStr">
        <is>
          <t>MJÖLBY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44908</v>
      </c>
      <c r="E190" s="1" t="n">
        <v>46286</v>
      </c>
      <c r="F190" t="inlineStr">
        <is>
          <t>ÖSTERGÖTLANDS LÄN</t>
        </is>
      </c>
      <c r="G190" t="inlineStr">
        <is>
          <t>MJÖLBY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46267</v>
      </c>
      <c r="E191" s="1" t="n">
        <v>46286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46267</v>
      </c>
      <c r="E192" s="1" t="n">
        <v>46286</v>
      </c>
      <c r="F192" t="inlineStr">
        <is>
          <t>ÖSTERGÖTLANDS LÄN</t>
        </is>
      </c>
      <c r="G192" t="inlineStr">
        <is>
          <t>MJÖLBY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46253</v>
      </c>
      <c r="E193" s="1" t="n">
        <v>46286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15276-2022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46286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Kyrkan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45037</v>
      </c>
      <c r="E195" s="1" t="n">
        <v>46286</v>
      </c>
      <c r="F195" t="inlineStr">
        <is>
          <t>ÖSTERGÖTLANDS LÄN</t>
        </is>
      </c>
      <c r="G195" t="inlineStr">
        <is>
          <t>MJÖLBY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46286</v>
      </c>
      <c r="F196" t="inlineStr">
        <is>
          <t>ÖSTERGÖTLANDS LÄN</t>
        </is>
      </c>
      <c r="G196" t="inlineStr">
        <is>
          <t>MJÖLBY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46286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45261</v>
      </c>
      <c r="E198" s="1" t="n">
        <v>46286</v>
      </c>
      <c r="F198" t="inlineStr">
        <is>
          <t>ÖSTERGÖTLANDS LÄN</t>
        </is>
      </c>
      <c r="G198" t="inlineStr">
        <is>
          <t>MJÖLBY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46286</v>
      </c>
      <c r="F199" t="inlineStr">
        <is>
          <t>ÖSTERGÖTLANDS LÄN</t>
        </is>
      </c>
      <c r="G199" t="inlineStr">
        <is>
          <t>MJÖLBY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46274</v>
      </c>
      <c r="E200" s="1" t="n">
        <v>46286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46275</v>
      </c>
      <c r="E201" s="1" t="n">
        <v>46286</v>
      </c>
      <c r="F201" t="inlineStr">
        <is>
          <t>ÖSTERGÖTLANDS LÄN</t>
        </is>
      </c>
      <c r="G201" t="inlineStr">
        <is>
          <t>MJÖLBY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46274</v>
      </c>
      <c r="E202" s="1" t="n">
        <v>46286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Kyrkan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46286</v>
      </c>
      <c r="F203" t="inlineStr">
        <is>
          <t>ÖSTERGÖTLANDS LÄN</t>
        </is>
      </c>
      <c r="G203" t="inlineStr">
        <is>
          <t>MJÖLBY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46232</v>
      </c>
      <c r="E204" s="1" t="n">
        <v>46286</v>
      </c>
      <c r="F204" t="inlineStr">
        <is>
          <t>ÖSTERGÖTLANDS LÄN</t>
        </is>
      </c>
      <c r="G204" t="inlineStr">
        <is>
          <t>MJÖLBY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45526</v>
      </c>
      <c r="E205" s="1" t="n">
        <v>46286</v>
      </c>
      <c r="F205" t="inlineStr">
        <is>
          <t>ÖSTERGÖTLANDS LÄN</t>
        </is>
      </c>
      <c r="G205" t="inlineStr">
        <is>
          <t>MJÖLBY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46286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46275</v>
      </c>
      <c r="E207" s="1" t="n">
        <v>46286</v>
      </c>
      <c r="F207" t="inlineStr">
        <is>
          <t>ÖSTERGÖTLANDS LÄN</t>
        </is>
      </c>
      <c r="G207" t="inlineStr">
        <is>
          <t>MJÖLBY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46232</v>
      </c>
      <c r="E208" s="1" t="n">
        <v>46286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46286</v>
      </c>
      <c r="F209" t="inlineStr">
        <is>
          <t>ÖSTERGÖTLANDS LÄN</t>
        </is>
      </c>
      <c r="G209" t="inlineStr">
        <is>
          <t>MJÖLBY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37888-2026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46279</v>
      </c>
      <c r="E210" s="1" t="n">
        <v>46286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Kyrkan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46195</v>
      </c>
      <c r="E211" s="1" t="n">
        <v>46286</v>
      </c>
      <c r="F211" t="inlineStr">
        <is>
          <t>ÖSTERGÖTLANDS LÄN</t>
        </is>
      </c>
      <c r="G211" t="inlineStr">
        <is>
          <t>MJÖLBY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37083-2024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45539</v>
      </c>
      <c r="E212" s="1" t="n">
        <v>46286</v>
      </c>
      <c r="F212" t="inlineStr">
        <is>
          <t>ÖSTERGÖTLANDS LÄN</t>
        </is>
      </c>
      <c r="G212" t="inlineStr">
        <is>
          <t>MJÖLBY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46286</v>
      </c>
      <c r="F213" t="inlineStr">
        <is>
          <t>ÖSTERGÖTLANDS LÄN</t>
        </is>
      </c>
      <c r="G213" t="inlineStr">
        <is>
          <t>MJÖLBY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45215</v>
      </c>
      <c r="E214" s="1" t="n">
        <v>46286</v>
      </c>
      <c r="F214" t="inlineStr">
        <is>
          <t>ÖSTERGÖTLANDS LÄN</t>
        </is>
      </c>
      <c r="G214" t="inlineStr">
        <is>
          <t>MJÖLBY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45736</v>
      </c>
      <c r="E215" s="1" t="n">
        <v>46286</v>
      </c>
      <c r="F215" t="inlineStr">
        <is>
          <t>ÖSTERGÖTLANDS LÄN</t>
        </is>
      </c>
      <c r="G215" t="inlineStr">
        <is>
          <t>MJÖLBY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38278-2024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45545</v>
      </c>
      <c r="E216" s="1" t="n">
        <v>46286</v>
      </c>
      <c r="F216" t="inlineStr">
        <is>
          <t>ÖSTERGÖTLANDS LÄN</t>
        </is>
      </c>
      <c r="G216" t="inlineStr">
        <is>
          <t>MJÖLBY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46286</v>
      </c>
      <c r="F217" t="inlineStr">
        <is>
          <t>ÖSTERGÖTLANDS LÄN</t>
        </is>
      </c>
      <c r="G217" t="inlineStr">
        <is>
          <t>MJÖLBY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46286</v>
      </c>
      <c r="F218" t="inlineStr">
        <is>
          <t>ÖSTERGÖTLANDS LÄN</t>
        </is>
      </c>
      <c r="G218" t="inlineStr">
        <is>
          <t>MJÖLBY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46286</v>
      </c>
      <c r="F219" t="inlineStr">
        <is>
          <t>ÖSTERGÖTLANDS LÄN</t>
        </is>
      </c>
      <c r="G219" t="inlineStr">
        <is>
          <t>MJÖLBY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46237</v>
      </c>
      <c r="E220" s="1" t="n">
        <v>46286</v>
      </c>
      <c r="F220" t="inlineStr">
        <is>
          <t>ÖSTERGÖTLANDS LÄN</t>
        </is>
      </c>
      <c r="G220" t="inlineStr">
        <is>
          <t>MJÖLBY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46286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32558-2026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46286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46286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Övriga Aktiebolag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46286</v>
      </c>
      <c r="F224" t="inlineStr">
        <is>
          <t>ÖSTERGÖTLANDS LÄN</t>
        </is>
      </c>
      <c r="G224" t="inlineStr">
        <is>
          <t>MJÖLBY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46286</v>
      </c>
      <c r="F225" t="inlineStr">
        <is>
          <t>ÖSTERGÖTLANDS LÄN</t>
        </is>
      </c>
      <c r="G225" t="inlineStr">
        <is>
          <t>MJÖLBY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27232-2025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45812</v>
      </c>
      <c r="E226" s="1" t="n">
        <v>46286</v>
      </c>
      <c r="F226" t="inlineStr">
        <is>
          <t>ÖSTERGÖTLANDS LÄN</t>
        </is>
      </c>
      <c r="G226" t="inlineStr">
        <is>
          <t>MJÖLBY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46286</v>
      </c>
      <c r="F227" t="inlineStr">
        <is>
          <t>ÖSTERGÖTLANDS LÄN</t>
        </is>
      </c>
      <c r="G227" t="inlineStr">
        <is>
          <t>MJÖLBY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45827</v>
      </c>
      <c r="E228" s="1" t="n">
        <v>46286</v>
      </c>
      <c r="F228" t="inlineStr">
        <is>
          <t>ÖSTERGÖTLANDS LÄN</t>
        </is>
      </c>
      <c r="G228" t="inlineStr">
        <is>
          <t>MJÖLBY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46286</v>
      </c>
      <c r="F229" t="inlineStr">
        <is>
          <t>ÖSTERGÖTLANDS LÄN</t>
        </is>
      </c>
      <c r="G229" t="inlineStr">
        <is>
          <t>MJÖLBY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46286</v>
      </c>
      <c r="F230" t="inlineStr">
        <is>
          <t>ÖSTERGÖTLANDS LÄN</t>
        </is>
      </c>
      <c r="G230" t="inlineStr">
        <is>
          <t>MJÖLBY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45834</v>
      </c>
      <c r="E231" s="1" t="n">
        <v>46286</v>
      </c>
      <c r="F231" t="inlineStr">
        <is>
          <t>ÖSTERGÖTLANDS LÄN</t>
        </is>
      </c>
      <c r="G231" t="inlineStr">
        <is>
          <t>MJÖLBY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45216</v>
      </c>
      <c r="E232" s="1" t="n">
        <v>46286</v>
      </c>
      <c r="F232" t="inlineStr">
        <is>
          <t>ÖSTERGÖTLANDS LÄN</t>
        </is>
      </c>
      <c r="G232" t="inlineStr">
        <is>
          <t>MJÖLBY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37806-2022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44810</v>
      </c>
      <c r="E233" s="1" t="n">
        <v>46286</v>
      </c>
      <c r="F233" t="inlineStr">
        <is>
          <t>ÖSTERGÖTLANDS LÄN</t>
        </is>
      </c>
      <c r="G233" t="inlineStr">
        <is>
          <t>MJÖLBY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44810</v>
      </c>
      <c r="E234" s="1" t="n">
        <v>46286</v>
      </c>
      <c r="F234" t="inlineStr">
        <is>
          <t>ÖSTERGÖTLANDS LÄN</t>
        </is>
      </c>
      <c r="G234" t="inlineStr">
        <is>
          <t>MJÖLBY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45882</v>
      </c>
      <c r="E235" s="1" t="n">
        <v>46286</v>
      </c>
      <c r="F235" t="inlineStr">
        <is>
          <t>ÖSTERGÖTLANDS LÄN</t>
        </is>
      </c>
      <c r="G235" t="inlineStr">
        <is>
          <t>MJÖLBY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1827-2026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46197</v>
      </c>
      <c r="E236" s="1" t="n">
        <v>46286</v>
      </c>
      <c r="F236" t="inlineStr">
        <is>
          <t>ÖSTERGÖTLANDS LÄN</t>
        </is>
      </c>
      <c r="G236" t="inlineStr">
        <is>
          <t>MJÖLBY</t>
        </is>
      </c>
      <c r="H236" t="inlineStr">
        <is>
          <t>Övriga Aktiebolag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2026-09-21T02:02:13Z</dcterms:created>
  <dcterms:modified xmlns:dcterms="http://purl.org/dc/terms/" xmlns:xsi="http://www.w3.org/2001/XMLSchema-instance" xsi:type="dcterms:W3CDTF">2026-09-21T02:02:14Z</dcterms:modified>
</cp:coreProperties>
</file>