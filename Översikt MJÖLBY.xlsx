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46237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46237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46237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46237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46237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46237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46237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13567-2025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45736</v>
      </c>
      <c r="E12" s="1" t="n">
        <v>46237</v>
      </c>
      <c r="F12" t="inlineStr">
        <is>
          <t>ÖSTERGÖTLANDS LÄN</t>
        </is>
      </c>
      <c r="G12" t="inlineStr">
        <is>
          <t>MJÖLBY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Klubbsprötad bastardsvärmare</t>
        </is>
      </c>
      <c r="W12">
        <f>HYPERLINK("https://klasma.github.io/Logging_0586/artfynd/A 13567-2025 artfynd.xlsx", "A 13567-2025")</f>
        <v/>
      </c>
      <c r="X12">
        <f>HYPERLINK("https://klasma.github.io/Logging_0586/kartor/A 13567-2025 karta.png", "A 13567-2025")</f>
        <v/>
      </c>
      <c r="Y12">
        <f>HYPERLINK("https://klasma.github.io/Logging_0586/kartor_geotiff/A 13567-2025 georefererad karta.tif", "A 13567-2025")</f>
        <v/>
      </c>
      <c r="AA12">
        <f>HYPERLINK("https://klasma.github.io/Logging_0586/klagomål/A 13567-2025 FSC-klagomål.docx", "A 13567-2025")</f>
        <v/>
      </c>
      <c r="AB12">
        <f>HYPERLINK("https://klasma.github.io/Logging_0586/klagomålsmail/A 13567-2025 FSC-klagomål mail.docx", "A 13567-2025")</f>
        <v/>
      </c>
      <c r="AC12">
        <f>HYPERLINK("https://klasma.github.io/Logging_0586/tillsyn/A 13567-2025 tillsynsbegäran.docx", "A 13567-2025")</f>
        <v/>
      </c>
      <c r="AD12">
        <f>HYPERLINK("https://klasma.github.io/Logging_0586/tillsynsmail/A 13567-2025 tillsynsbegäran mail.docx", "A 13567-2025")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46237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44468-2021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44435</v>
      </c>
      <c r="E14" s="1" t="n">
        <v>46237</v>
      </c>
      <c r="F14" t="inlineStr">
        <is>
          <t>ÖSTERGÖTLANDS LÄN</t>
        </is>
      </c>
      <c r="G14" t="inlineStr">
        <is>
          <t>MJÖLBY</t>
        </is>
      </c>
      <c r="H14" t="inlineStr">
        <is>
          <t>Kommuner</t>
        </is>
      </c>
      <c r="I14" t="n">
        <v>3.5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HYPERLINK("https://klasma.github.io/Logging_0586/artfynd/A 44468-2021 artfynd.xlsx", "A 44468-2021")</f>
        <v/>
      </c>
      <c r="X14">
        <f>HYPERLINK("https://klasma.github.io/Logging_0586/kartor/A 44468-2021 karta.png", "A 44468-2021")</f>
        <v/>
      </c>
      <c r="Y14">
        <f>HYPERLINK("https://klasma.github.io/Logging_0586/kartor_geotiff/A 44468-2021 georefererad karta.tif", "A 44468-2021")</f>
        <v/>
      </c>
      <c r="AA14">
        <f>HYPERLINK("https://klasma.github.io/Logging_0586/klagomål/A 44468-2021 FSC-klagomål.docx", "A 44468-2021")</f>
        <v/>
      </c>
      <c r="AB14">
        <f>HYPERLINK("https://klasma.github.io/Logging_0586/klagomålsmail/A 44468-2021 FSC-klagomål mail.docx", "A 44468-2021")</f>
        <v/>
      </c>
      <c r="AC14">
        <f>HYPERLINK("https://klasma.github.io/Logging_0586/tillsyn/A 44468-2021 tillsynsbegäran.docx", "A 44468-2021")</f>
        <v/>
      </c>
      <c r="AD14">
        <f>HYPERLINK("https://klasma.github.io/Logging_0586/tillsynsmail/A 44468-2021 tillsynsbegäran mail.docx", "A 44468-2021")</f>
        <v/>
      </c>
    </row>
    <row r="15" ht="15" customHeight="1">
      <c r="A15" t="inlineStr">
        <is>
          <t>A 50403-2022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46237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2.4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1</v>
      </c>
      <c r="V15" s="2" t="inlineStr">
        <is>
          <t>Springkorn</t>
        </is>
      </c>
      <c r="W15">
        <f>HYPERLINK("https://klasma.github.io/Logging_0586/artfynd/A 50403-2022 artfynd.xlsx", "A 50403-2022")</f>
        <v/>
      </c>
      <c r="X15">
        <f>HYPERLINK("https://klasma.github.io/Logging_0586/kartor/A 50403-2022 karta.png", "A 50403-2022")</f>
        <v/>
      </c>
      <c r="Y15">
        <f>HYPERLINK("https://klasma.github.io/Logging_0586/kartor_geotiff/A 50403-2022 georefererad karta.tif", "A 50403-2022")</f>
        <v/>
      </c>
      <c r="AA15">
        <f>HYPERLINK("https://klasma.github.io/Logging_0586/klagomål/A 50403-2022 FSC-klagomål.docx", "A 50403-2022")</f>
        <v/>
      </c>
      <c r="AB15">
        <f>HYPERLINK("https://klasma.github.io/Logging_0586/klagomålsmail/A 50403-2022 FSC-klagomål mail.docx", "A 50403-2022")</f>
        <v/>
      </c>
      <c r="AC15">
        <f>HYPERLINK("https://klasma.github.io/Logging_0586/tillsyn/A 50403-2022 tillsynsbegäran.docx", "A 50403-2022")</f>
        <v/>
      </c>
      <c r="AD15">
        <f>HYPERLINK("https://klasma.github.io/Logging_0586/tillsynsmail/A 50403-2022 tillsynsbegäran mail.docx", "A 50403-2022")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46237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46237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46237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60983-2023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45261</v>
      </c>
      <c r="E19" s="1" t="n">
        <v>46237</v>
      </c>
      <c r="F19" t="inlineStr">
        <is>
          <t>ÖSTERGÖTLANDS LÄN</t>
        </is>
      </c>
      <c r="G19" t="inlineStr">
        <is>
          <t>MJÖLBY</t>
        </is>
      </c>
      <c r="I19" t="n">
        <v>3.8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HYPERLINK("https://klasma.github.io/Logging_0586/artfynd/A 60983-2023 artfynd.xlsx", "A 60983-2023")</f>
        <v/>
      </c>
      <c r="X19">
        <f>HYPERLINK("https://klasma.github.io/Logging_0586/kartor/A 60983-2023 karta.png", "A 60983-2023")</f>
        <v/>
      </c>
      <c r="Y19">
        <f>HYPERLINK("https://klasma.github.io/Logging_0586/kartor_geotiff/A 60983-2023 georefererad karta.tif", "A 60983-2023")</f>
        <v/>
      </c>
      <c r="AA19">
        <f>HYPERLINK("https://klasma.github.io/Logging_0586/klagomål/A 60983-2023 FSC-klagomål.docx", "A 60983-2023")</f>
        <v/>
      </c>
      <c r="AB19">
        <f>HYPERLINK("https://klasma.github.io/Logging_0586/klagomålsmail/A 60983-2023 FSC-klagomål mail.docx", "A 60983-2023")</f>
        <v/>
      </c>
      <c r="AC19">
        <f>HYPERLINK("https://klasma.github.io/Logging_0586/tillsyn/A 60983-2023 tillsynsbegäran.docx", "A 60983-2023")</f>
        <v/>
      </c>
      <c r="AD19">
        <f>HYPERLINK("https://klasma.github.io/Logging_0586/tillsynsmail/A 60983-2023 tillsynsbegäran mail.docx", "A 60983-2023")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46237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46237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46237</v>
      </c>
      <c r="F22" t="inlineStr">
        <is>
          <t>ÖSTERGÖTLANDS LÄN</t>
        </is>
      </c>
      <c r="G22" t="inlineStr">
        <is>
          <t>MJÖLBY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HYPERLINK("https://klasma.github.io/Logging_0586/artfynd/A 2230-2025 artfynd.xlsx", "A 2230-2025")</f>
        <v/>
      </c>
      <c r="X22">
        <f>HYPERLINK("https://klasma.github.io/Logging_0586/kartor/A 2230-2025 karta.png", "A 2230-2025")</f>
        <v/>
      </c>
      <c r="Y22">
        <f>HYPERLINK("https://klasma.github.io/Logging_0586/kartor_geotiff/A 2230-2025 georefererad karta.tif", "A 2230-2025")</f>
        <v/>
      </c>
      <c r="AA22">
        <f>HYPERLINK("https://klasma.github.io/Logging_0586/klagomål/A 2230-2025 FSC-klagomål.docx", "A 2230-2025")</f>
        <v/>
      </c>
      <c r="AB22">
        <f>HYPERLINK("https://klasma.github.io/Logging_0586/klagomålsmail/A 2230-2025 FSC-klagomål mail.docx", "A 2230-2025")</f>
        <v/>
      </c>
      <c r="AC22">
        <f>HYPERLINK("https://klasma.github.io/Logging_0586/tillsyn/A 2230-2025 tillsynsbegäran.docx", "A 2230-2025")</f>
        <v/>
      </c>
      <c r="AD22">
        <f>HYPERLINK("https://klasma.github.io/Logging_0586/tillsynsmail/A 2230-2025 tillsynsbegäran mail.docx", "A 2230-2025")</f>
        <v/>
      </c>
    </row>
    <row r="23" ht="15" customHeight="1">
      <c r="A23" t="inlineStr">
        <is>
          <t>A 51642-2021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46237</v>
      </c>
      <c r="F23" t="inlineStr">
        <is>
          <t>ÖSTERGÖTLANDS LÄN</t>
        </is>
      </c>
      <c r="G23" t="inlineStr">
        <is>
          <t>MJÖLBY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Vårstarr</t>
        </is>
      </c>
      <c r="W23">
        <f>HYPERLINK("https://klasma.github.io/Logging_0586/artfynd/A 51642-2021 artfynd.xlsx", "A 51642-2021")</f>
        <v/>
      </c>
      <c r="X23">
        <f>HYPERLINK("https://klasma.github.io/Logging_0586/kartor/A 51642-2021 karta.png", "A 51642-2021")</f>
        <v/>
      </c>
      <c r="Y23">
        <f>HYPERLINK("https://klasma.github.io/Logging_0586/kartor_geotiff/A 51642-2021 georefererad karta.tif", "A 51642-2021")</f>
        <v/>
      </c>
      <c r="AA23">
        <f>HYPERLINK("https://klasma.github.io/Logging_0586/klagomål/A 51642-2021 FSC-klagomål.docx", "A 51642-2021")</f>
        <v/>
      </c>
      <c r="AB23">
        <f>HYPERLINK("https://klasma.github.io/Logging_0586/klagomålsmail/A 51642-2021 FSC-klagomål mail.docx", "A 51642-2021")</f>
        <v/>
      </c>
      <c r="AC23">
        <f>HYPERLINK("https://klasma.github.io/Logging_0586/tillsyn/A 51642-2021 tillsynsbegäran.docx", "A 51642-2021")</f>
        <v/>
      </c>
      <c r="AD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46237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46237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46237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46237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46237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46237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46237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46237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46237</v>
      </c>
      <c r="F32" t="inlineStr">
        <is>
          <t>ÖSTERGÖTLANDS LÄN</t>
        </is>
      </c>
      <c r="G32" t="inlineStr">
        <is>
          <t>MJÖLBY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72563-2021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46237</v>
      </c>
      <c r="F33" t="inlineStr">
        <is>
          <t>ÖSTERGÖTLANDS LÄN</t>
        </is>
      </c>
      <c r="G33" t="inlineStr">
        <is>
          <t>MJÖLBY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46237</v>
      </c>
      <c r="F34" t="inlineStr">
        <is>
          <t>ÖSTERGÖTLANDS LÄN</t>
        </is>
      </c>
      <c r="G34" t="inlineStr">
        <is>
          <t>MJÖLBY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48438-2021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46237</v>
      </c>
      <c r="F35" t="inlineStr">
        <is>
          <t>ÖSTERGÖTLANDS LÄN</t>
        </is>
      </c>
      <c r="G35" t="inlineStr">
        <is>
          <t>MJÖLBY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46237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72558-2021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44546</v>
      </c>
      <c r="E37" s="1" t="n">
        <v>46237</v>
      </c>
      <c r="F37" t="inlineStr">
        <is>
          <t>ÖSTERGÖTLANDS LÄN</t>
        </is>
      </c>
      <c r="G37" t="inlineStr">
        <is>
          <t>MJÖLBY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46237</v>
      </c>
      <c r="F38" t="inlineStr">
        <is>
          <t>ÖSTERGÖTLANDS LÄN</t>
        </is>
      </c>
      <c r="G38" t="inlineStr">
        <is>
          <t>MJÖLBY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44792</v>
      </c>
      <c r="E39" s="1" t="n">
        <v>46237</v>
      </c>
      <c r="F39" t="inlineStr">
        <is>
          <t>ÖSTERGÖTLANDS LÄN</t>
        </is>
      </c>
      <c r="G39" t="inlineStr">
        <is>
          <t>MJÖLBY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46237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66977-2021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46237</v>
      </c>
      <c r="F41" t="inlineStr">
        <is>
          <t>ÖSTERGÖTLANDS LÄN</t>
        </is>
      </c>
      <c r="G41" t="inlineStr">
        <is>
          <t>MJÖLBY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46237</v>
      </c>
      <c r="F42" t="inlineStr">
        <is>
          <t>ÖSTERGÖTLANDS LÄN</t>
        </is>
      </c>
      <c r="G42" t="inlineStr">
        <is>
          <t>MJÖLBY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46237</v>
      </c>
      <c r="F43" t="inlineStr">
        <is>
          <t>ÖSTERGÖTLANDS LÄN</t>
        </is>
      </c>
      <c r="G43" t="inlineStr">
        <is>
          <t>MJÖLBY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17707-2023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45037</v>
      </c>
      <c r="E44" s="1" t="n">
        <v>46237</v>
      </c>
      <c r="F44" t="inlineStr">
        <is>
          <t>ÖSTERGÖTLANDS LÄN</t>
        </is>
      </c>
      <c r="G44" t="inlineStr">
        <is>
          <t>MJÖLBY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46237</v>
      </c>
      <c r="F45" t="inlineStr">
        <is>
          <t>ÖSTERGÖTLANDS LÄN</t>
        </is>
      </c>
      <c r="G45" t="inlineStr">
        <is>
          <t>MJÖLBY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46237</v>
      </c>
      <c r="F46" t="inlineStr">
        <is>
          <t>ÖSTERGÖTLANDS LÄN</t>
        </is>
      </c>
      <c r="G46" t="inlineStr">
        <is>
          <t>MJÖLBY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46237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46237</v>
      </c>
      <c r="F48" t="inlineStr">
        <is>
          <t>ÖSTERGÖTLANDS LÄN</t>
        </is>
      </c>
      <c r="G48" t="inlineStr">
        <is>
          <t>MJÖLBY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45208</v>
      </c>
      <c r="E49" s="1" t="n">
        <v>46237</v>
      </c>
      <c r="F49" t="inlineStr">
        <is>
          <t>ÖSTERGÖTLANDS LÄN</t>
        </is>
      </c>
      <c r="G49" t="inlineStr">
        <is>
          <t>MJÖLBY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46237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46237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46237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46237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43012-2024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45567</v>
      </c>
      <c r="E54" s="1" t="n">
        <v>46237</v>
      </c>
      <c r="F54" t="inlineStr">
        <is>
          <t>ÖSTERGÖTLANDS LÄN</t>
        </is>
      </c>
      <c r="G54" t="inlineStr">
        <is>
          <t>MJÖLBY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46237</v>
      </c>
      <c r="F55" t="inlineStr">
        <is>
          <t>ÖSTERGÖTLANDS LÄN</t>
        </is>
      </c>
      <c r="G55" t="inlineStr">
        <is>
          <t>MJÖLBY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46237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46237</v>
      </c>
      <c r="F57" t="inlineStr">
        <is>
          <t>ÖSTERGÖTLANDS LÄN</t>
        </is>
      </c>
      <c r="G57" t="inlineStr">
        <is>
          <t>MJÖLBY</t>
        </is>
      </c>
      <c r="H57" t="inlineStr">
        <is>
          <t>Kyrkan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46237</v>
      </c>
      <c r="F58" t="inlineStr">
        <is>
          <t>ÖSTERGÖTLANDS LÄN</t>
        </is>
      </c>
      <c r="G58" t="inlineStr">
        <is>
          <t>MJÖLBY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46237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44936</v>
      </c>
      <c r="E60" s="1" t="n">
        <v>46237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46237</v>
      </c>
      <c r="F61" t="inlineStr">
        <is>
          <t>ÖSTERGÖTLANDS LÄN</t>
        </is>
      </c>
      <c r="G61" t="inlineStr">
        <is>
          <t>MJÖLBY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46237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46237</v>
      </c>
      <c r="F63" t="inlineStr">
        <is>
          <t>ÖSTERGÖTLANDS LÄN</t>
        </is>
      </c>
      <c r="G63" t="inlineStr">
        <is>
          <t>MJÖLBY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46237</v>
      </c>
      <c r="F64" t="inlineStr">
        <is>
          <t>ÖSTERGÖTLANDS LÄN</t>
        </is>
      </c>
      <c r="G64" t="inlineStr">
        <is>
          <t>MJÖLBY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46237</v>
      </c>
      <c r="F65" t="inlineStr">
        <is>
          <t>ÖSTERGÖTLANDS LÄN</t>
        </is>
      </c>
      <c r="G65" t="inlineStr">
        <is>
          <t>MJÖLBY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46237</v>
      </c>
      <c r="F66" t="inlineStr">
        <is>
          <t>ÖSTERGÖTLANDS LÄN</t>
        </is>
      </c>
      <c r="G66" t="inlineStr">
        <is>
          <t>MJÖLBY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46237</v>
      </c>
      <c r="F67" t="inlineStr">
        <is>
          <t>ÖSTERGÖTLANDS LÄN</t>
        </is>
      </c>
      <c r="G67" t="inlineStr">
        <is>
          <t>MJÖLBY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46237</v>
      </c>
      <c r="F68" t="inlineStr">
        <is>
          <t>ÖSTERGÖTLANDS LÄN</t>
        </is>
      </c>
      <c r="G68" t="inlineStr">
        <is>
          <t>MJÖLBY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46237</v>
      </c>
      <c r="F69" t="inlineStr">
        <is>
          <t>ÖSTERGÖTLANDS LÄN</t>
        </is>
      </c>
      <c r="G69" t="inlineStr">
        <is>
          <t>MJÖLBY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46007</v>
      </c>
      <c r="E70" s="1" t="n">
        <v>46237</v>
      </c>
      <c r="F70" t="inlineStr">
        <is>
          <t>ÖSTERGÖTLANDS LÄN</t>
        </is>
      </c>
      <c r="G70" t="inlineStr">
        <is>
          <t>MJÖLBY</t>
        </is>
      </c>
      <c r="H70" t="inlineStr">
        <is>
          <t>Kommuner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46237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46237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46237</v>
      </c>
      <c r="F73" t="inlineStr">
        <is>
          <t>ÖSTERGÖTLANDS LÄN</t>
        </is>
      </c>
      <c r="G73" t="inlineStr">
        <is>
          <t>MJÖLBY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46237</v>
      </c>
      <c r="F74" t="inlineStr">
        <is>
          <t>ÖSTERGÖTLANDS LÄN</t>
        </is>
      </c>
      <c r="G74" t="inlineStr">
        <is>
          <t>MJÖLBY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46237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46237</v>
      </c>
      <c r="F76" t="inlineStr">
        <is>
          <t>ÖSTERGÖTLANDS LÄN</t>
        </is>
      </c>
      <c r="G76" t="inlineStr">
        <is>
          <t>MJÖLBY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64930-2023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46237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45085</v>
      </c>
      <c r="E78" s="1" t="n">
        <v>46237</v>
      </c>
      <c r="F78" t="inlineStr">
        <is>
          <t>ÖSTERGÖTLANDS LÄN</t>
        </is>
      </c>
      <c r="G78" t="inlineStr">
        <is>
          <t>MJÖLBY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46237</v>
      </c>
      <c r="F79" t="inlineStr">
        <is>
          <t>ÖSTERGÖTLANDS LÄN</t>
        </is>
      </c>
      <c r="G79" t="inlineStr">
        <is>
          <t>MJÖLBY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46237</v>
      </c>
      <c r="F80" t="inlineStr">
        <is>
          <t>ÖSTERGÖTLANDS LÄN</t>
        </is>
      </c>
      <c r="G80" t="inlineStr">
        <is>
          <t>MJÖLBY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46237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46237</v>
      </c>
      <c r="F82" t="inlineStr">
        <is>
          <t>ÖSTERGÖTLANDS LÄN</t>
        </is>
      </c>
      <c r="G82" t="inlineStr">
        <is>
          <t>MJÖLBY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46237</v>
      </c>
      <c r="F83" t="inlineStr">
        <is>
          <t>ÖSTERGÖTLANDS LÄN</t>
        </is>
      </c>
      <c r="G83" t="inlineStr">
        <is>
          <t>MJÖLBY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46237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46237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45324</v>
      </c>
      <c r="E86" s="1" t="n">
        <v>46237</v>
      </c>
      <c r="F86" t="inlineStr">
        <is>
          <t>ÖSTERGÖTLANDS LÄN</t>
        </is>
      </c>
      <c r="G86" t="inlineStr">
        <is>
          <t>MJÖLBY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46237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32581-2025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46237</v>
      </c>
      <c r="F88" t="inlineStr">
        <is>
          <t>ÖSTERGÖTLANDS LÄN</t>
        </is>
      </c>
      <c r="G88" t="inlineStr">
        <is>
          <t>MJÖLBY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46237</v>
      </c>
      <c r="F89" t="inlineStr">
        <is>
          <t>ÖSTERGÖTLANDS LÄN</t>
        </is>
      </c>
      <c r="G89" t="inlineStr">
        <is>
          <t>MJÖLBY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63449-2023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45273</v>
      </c>
      <c r="E90" s="1" t="n">
        <v>46237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46237</v>
      </c>
      <c r="F91" t="inlineStr">
        <is>
          <t>ÖSTERGÖTLANDS LÄN</t>
        </is>
      </c>
      <c r="G91" t="inlineStr">
        <is>
          <t>MJÖLBY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45152</v>
      </c>
      <c r="E92" s="1" t="n">
        <v>46237</v>
      </c>
      <c r="F92" t="inlineStr">
        <is>
          <t>ÖSTERGÖTLANDS LÄN</t>
        </is>
      </c>
      <c r="G92" t="inlineStr">
        <is>
          <t>MJÖLBY</t>
        </is>
      </c>
      <c r="H92" t="inlineStr">
        <is>
          <t>Allmännings- och besparingsskogar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45681</v>
      </c>
      <c r="E93" s="1" t="n">
        <v>46237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46237</v>
      </c>
      <c r="F94" t="inlineStr">
        <is>
          <t>ÖSTERGÖTLANDS LÄN</t>
        </is>
      </c>
      <c r="G94" t="inlineStr">
        <is>
          <t>MJÖLBY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44769-2025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46237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46237</v>
      </c>
      <c r="F96" t="inlineStr">
        <is>
          <t>ÖSTERGÖTLANDS LÄN</t>
        </is>
      </c>
      <c r="G96" t="inlineStr">
        <is>
          <t>MJÖLBY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46237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46237</v>
      </c>
      <c r="F98" t="inlineStr">
        <is>
          <t>ÖSTERGÖTLANDS LÄN</t>
        </is>
      </c>
      <c r="G98" t="inlineStr">
        <is>
          <t>MJÖLBY</t>
        </is>
      </c>
      <c r="H98" t="inlineStr">
        <is>
          <t>Övriga Aktiebolag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46237</v>
      </c>
      <c r="F99" t="inlineStr">
        <is>
          <t>ÖSTERGÖTLANDS LÄN</t>
        </is>
      </c>
      <c r="G99" t="inlineStr">
        <is>
          <t>MJÖLBY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46237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46237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46237</v>
      </c>
      <c r="F102" t="inlineStr">
        <is>
          <t>ÖSTERGÖTLANDS LÄN</t>
        </is>
      </c>
      <c r="G102" t="inlineStr">
        <is>
          <t>MJÖLBY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46237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46237</v>
      </c>
      <c r="F104" t="inlineStr">
        <is>
          <t>ÖSTERGÖTLANDS LÄN</t>
        </is>
      </c>
      <c r="G104" t="inlineStr">
        <is>
          <t>MJÖLBY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46237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46237</v>
      </c>
      <c r="F106" t="inlineStr">
        <is>
          <t>ÖSTERGÖTLANDS LÄN</t>
        </is>
      </c>
      <c r="G106" t="inlineStr">
        <is>
          <t>MJÖLBY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46237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46237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46237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46237</v>
      </c>
      <c r="F110" t="inlineStr">
        <is>
          <t>ÖSTERGÖTLANDS LÄN</t>
        </is>
      </c>
      <c r="G110" t="inlineStr">
        <is>
          <t>MJÖLBY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46237</v>
      </c>
      <c r="F111" t="inlineStr">
        <is>
          <t>ÖSTERGÖTLANDS LÄN</t>
        </is>
      </c>
      <c r="G111" t="inlineStr">
        <is>
          <t>MJÖLBY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46237</v>
      </c>
      <c r="F112" t="inlineStr">
        <is>
          <t>ÖSTERGÖTLANDS LÄN</t>
        </is>
      </c>
      <c r="G112" t="inlineStr">
        <is>
          <t>MJÖLBY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46237</v>
      </c>
      <c r="F113" t="inlineStr">
        <is>
          <t>ÖSTERGÖTLANDS LÄN</t>
        </is>
      </c>
      <c r="G113" t="inlineStr">
        <is>
          <t>MJÖLBY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46237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46237</v>
      </c>
      <c r="F115" t="inlineStr">
        <is>
          <t>ÖSTERGÖTLANDS LÄN</t>
        </is>
      </c>
      <c r="G115" t="inlineStr">
        <is>
          <t>MJÖLBY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24139-2026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46237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44903</v>
      </c>
      <c r="E117" s="1" t="n">
        <v>46237</v>
      </c>
      <c r="F117" t="inlineStr">
        <is>
          <t>ÖSTERGÖTLANDS LÄN</t>
        </is>
      </c>
      <c r="G117" t="inlineStr">
        <is>
          <t>MJÖLBY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46237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46237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46237</v>
      </c>
      <c r="F120" t="inlineStr">
        <is>
          <t>ÖSTERGÖTLANDS LÄN</t>
        </is>
      </c>
      <c r="G120" t="inlineStr">
        <is>
          <t>MJÖLBY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46237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46237</v>
      </c>
      <c r="F122" t="inlineStr">
        <is>
          <t>ÖSTERGÖTLANDS LÄN</t>
        </is>
      </c>
      <c r="G122" t="inlineStr">
        <is>
          <t>MJÖLBY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46237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46237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Kyrkan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46237</v>
      </c>
      <c r="F125" t="inlineStr">
        <is>
          <t>ÖSTERGÖTLANDS LÄN</t>
        </is>
      </c>
      <c r="G125" t="inlineStr">
        <is>
          <t>MJÖLBY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59411-2022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44907</v>
      </c>
      <c r="E126" s="1" t="n">
        <v>46237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46237</v>
      </c>
      <c r="F127" t="inlineStr">
        <is>
          <t>ÖSTERGÖTLANDS LÄN</t>
        </is>
      </c>
      <c r="G127" t="inlineStr">
        <is>
          <t>MJÖLBY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46237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46171</v>
      </c>
      <c r="E129" s="1" t="n">
        <v>46237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46170</v>
      </c>
      <c r="E130" s="1" t="n">
        <v>46237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45177</v>
      </c>
      <c r="E131" s="1" t="n">
        <v>46237</v>
      </c>
      <c r="F131" t="inlineStr">
        <is>
          <t>ÖSTERGÖTLANDS LÄN</t>
        </is>
      </c>
      <c r="G131" t="inlineStr">
        <is>
          <t>MJÖLBY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46237</v>
      </c>
      <c r="F132" t="inlineStr">
        <is>
          <t>ÖSTERGÖTLANDS LÄN</t>
        </is>
      </c>
      <c r="G132" t="inlineStr">
        <is>
          <t>MJÖLBY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46237</v>
      </c>
      <c r="F133" t="inlineStr">
        <is>
          <t>ÖSTERGÖTLANDS LÄN</t>
        </is>
      </c>
      <c r="G133" t="inlineStr">
        <is>
          <t>MJÖLBY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46237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59410-2022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44907</v>
      </c>
      <c r="E135" s="1" t="n">
        <v>46237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24903-2026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46174</v>
      </c>
      <c r="E136" s="1" t="n">
        <v>46237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46217</v>
      </c>
      <c r="E137" s="1" t="n">
        <v>46237</v>
      </c>
      <c r="F137" t="inlineStr">
        <is>
          <t>ÖSTERGÖTLANDS LÄN</t>
        </is>
      </c>
      <c r="G137" t="inlineStr">
        <is>
          <t>MJÖLBY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46237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46237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46217</v>
      </c>
      <c r="E140" s="1" t="n">
        <v>46237</v>
      </c>
      <c r="F140" t="inlineStr">
        <is>
          <t>ÖSTERGÖTLANDS LÄN</t>
        </is>
      </c>
      <c r="G140" t="inlineStr">
        <is>
          <t>MJÖLBY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46237</v>
      </c>
      <c r="F141" t="inlineStr">
        <is>
          <t>ÖSTERGÖTLANDS LÄN</t>
        </is>
      </c>
      <c r="G141" t="inlineStr">
        <is>
          <t>MJÖLBY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46237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46237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46237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45269</v>
      </c>
      <c r="E145" s="1" t="n">
        <v>46237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46237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45384</v>
      </c>
      <c r="E147" s="1" t="n">
        <v>46237</v>
      </c>
      <c r="F147" t="inlineStr">
        <is>
          <t>ÖSTERGÖTLANDS LÄN</t>
        </is>
      </c>
      <c r="G147" t="inlineStr">
        <is>
          <t>MJÖLBY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46237</v>
      </c>
      <c r="F148" t="inlineStr">
        <is>
          <t>ÖSTERGÖTLANDS LÄN</t>
        </is>
      </c>
      <c r="G148" t="inlineStr">
        <is>
          <t>MJÖLBY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46237</v>
      </c>
      <c r="F149" t="inlineStr">
        <is>
          <t>ÖSTERGÖTLANDS LÄN</t>
        </is>
      </c>
      <c r="G149" t="inlineStr">
        <is>
          <t>MJÖLBY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45009</v>
      </c>
      <c r="E150" s="1" t="n">
        <v>46237</v>
      </c>
      <c r="F150" t="inlineStr">
        <is>
          <t>ÖSTERGÖTLANDS LÄN</t>
        </is>
      </c>
      <c r="G150" t="inlineStr">
        <is>
          <t>MJÖLBY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46237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46237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46237</v>
      </c>
      <c r="F153" t="inlineStr">
        <is>
          <t>ÖSTERGÖTLANDS LÄN</t>
        </is>
      </c>
      <c r="G153" t="inlineStr">
        <is>
          <t>MJÖLBY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46237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68095-2021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46237</v>
      </c>
      <c r="F155" t="inlineStr">
        <is>
          <t>ÖSTERGÖTLANDS LÄN</t>
        </is>
      </c>
      <c r="G155" t="inlineStr">
        <is>
          <t>MJÖLBY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46237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46237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46237</v>
      </c>
      <c r="F158" t="inlineStr">
        <is>
          <t>ÖSTERGÖTLANDS LÄN</t>
        </is>
      </c>
      <c r="G158" t="inlineStr">
        <is>
          <t>MJÖLBY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46237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46237</v>
      </c>
      <c r="F160" t="inlineStr">
        <is>
          <t>ÖSTERGÖTLANDS LÄN</t>
        </is>
      </c>
      <c r="G160" t="inlineStr">
        <is>
          <t>MJÖLBY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46237</v>
      </c>
      <c r="F161" t="inlineStr">
        <is>
          <t>ÖSTERGÖTLANDS LÄN</t>
        </is>
      </c>
      <c r="G161" t="inlineStr">
        <is>
          <t>MJÖLBY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46237</v>
      </c>
      <c r="F162" t="inlineStr">
        <is>
          <t>ÖSTERGÖTLANDS LÄN</t>
        </is>
      </c>
      <c r="G162" t="inlineStr">
        <is>
          <t>MJÖLBY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46237</v>
      </c>
      <c r="F163" t="inlineStr">
        <is>
          <t>ÖSTERGÖTLANDS LÄN</t>
        </is>
      </c>
      <c r="G163" t="inlineStr">
        <is>
          <t>MJÖLBY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44629</v>
      </c>
      <c r="E164" s="1" t="n">
        <v>46237</v>
      </c>
      <c r="F164" t="inlineStr">
        <is>
          <t>ÖSTERGÖTLANDS LÄN</t>
        </is>
      </c>
      <c r="G164" t="inlineStr">
        <is>
          <t>MJÖLBY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46237</v>
      </c>
      <c r="F165" t="inlineStr">
        <is>
          <t>ÖSTERGÖTLANDS LÄN</t>
        </is>
      </c>
      <c r="G165" t="inlineStr">
        <is>
          <t>MJÖLBY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46237</v>
      </c>
      <c r="F166" t="inlineStr">
        <is>
          <t>ÖSTERGÖTLANDS LÄN</t>
        </is>
      </c>
      <c r="G166" t="inlineStr">
        <is>
          <t>MJÖLBY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46237</v>
      </c>
      <c r="F167" t="inlineStr">
        <is>
          <t>ÖSTERGÖTLANDS LÄN</t>
        </is>
      </c>
      <c r="G167" t="inlineStr">
        <is>
          <t>MJÖLBY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46237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46237</v>
      </c>
      <c r="F169" t="inlineStr">
        <is>
          <t>ÖSTERGÖTLANDS LÄN</t>
        </is>
      </c>
      <c r="G169" t="inlineStr">
        <is>
          <t>MJÖLBY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46237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46237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46237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45293</v>
      </c>
      <c r="E173" s="1" t="n">
        <v>46237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45301</v>
      </c>
      <c r="E174" s="1" t="n">
        <v>46237</v>
      </c>
      <c r="F174" t="inlineStr">
        <is>
          <t>ÖSTERGÖTLANDS LÄN</t>
        </is>
      </c>
      <c r="G174" t="inlineStr">
        <is>
          <t>MJÖLBY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46237</v>
      </c>
      <c r="F175" t="inlineStr">
        <is>
          <t>ÖSTERGÖTLANDS LÄN</t>
        </is>
      </c>
      <c r="G175" t="inlineStr">
        <is>
          <t>MJÖLBY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46237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46237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46237</v>
      </c>
      <c r="F178" t="inlineStr">
        <is>
          <t>ÖSTERGÖTLANDS LÄN</t>
        </is>
      </c>
      <c r="G178" t="inlineStr">
        <is>
          <t>MJÖLBY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46237</v>
      </c>
      <c r="F179" t="inlineStr">
        <is>
          <t>ÖSTERGÖTLANDS LÄN</t>
        </is>
      </c>
      <c r="G179" t="inlineStr">
        <is>
          <t>MJÖLBY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46237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46237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46237</v>
      </c>
      <c r="F182" t="inlineStr">
        <is>
          <t>ÖSTERGÖTLANDS LÄN</t>
        </is>
      </c>
      <c r="G182" t="inlineStr">
        <is>
          <t>MJÖLBY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46237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38278-2024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45545</v>
      </c>
      <c r="E184" s="1" t="n">
        <v>46237</v>
      </c>
      <c r="F184" t="inlineStr">
        <is>
          <t>ÖSTERGÖTLANDS LÄN</t>
        </is>
      </c>
      <c r="G184" t="inlineStr">
        <is>
          <t>MJÖLBY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45384</v>
      </c>
      <c r="E185" s="1" t="n">
        <v>46237</v>
      </c>
      <c r="F185" t="inlineStr">
        <is>
          <t>ÖSTERGÖTLANDS LÄN</t>
        </is>
      </c>
      <c r="G185" t="inlineStr">
        <is>
          <t>MJÖLBY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46237</v>
      </c>
      <c r="F186" t="inlineStr">
        <is>
          <t>ÖSTERGÖTLANDS LÄN</t>
        </is>
      </c>
      <c r="G186" t="inlineStr">
        <is>
          <t>MJÖLBY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46237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46237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46237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46237</v>
      </c>
      <c r="F190" t="inlineStr">
        <is>
          <t>ÖSTERGÖTLANDS LÄN</t>
        </is>
      </c>
      <c r="G190" t="inlineStr">
        <is>
          <t>MJÖLBY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46237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46237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46237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46237</v>
      </c>
      <c r="F194" t="inlineStr">
        <is>
          <t>ÖSTERGÖTLANDS LÄN</t>
        </is>
      </c>
      <c r="G194" t="inlineStr">
        <is>
          <t>MJÖLBY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46237</v>
      </c>
      <c r="F195" t="inlineStr">
        <is>
          <t>ÖSTERGÖTLANDS LÄN</t>
        </is>
      </c>
      <c r="G195" t="inlineStr">
        <is>
          <t>MJÖLBY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46237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46237</v>
      </c>
      <c r="F197" t="inlineStr">
        <is>
          <t>ÖSTERGÖTLANDS LÄN</t>
        </is>
      </c>
      <c r="G197" t="inlineStr">
        <is>
          <t>MJÖLBY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45208</v>
      </c>
      <c r="E198" s="1" t="n">
        <v>46237</v>
      </c>
      <c r="F198" t="inlineStr">
        <is>
          <t>ÖSTERGÖTLANDS LÄN</t>
        </is>
      </c>
      <c r="G198" t="inlineStr">
        <is>
          <t>MJÖLBY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46237</v>
      </c>
      <c r="F199" t="inlineStr">
        <is>
          <t>ÖSTERGÖTLANDS LÄN</t>
        </is>
      </c>
      <c r="G199" t="inlineStr">
        <is>
          <t>MJÖLBY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46237</v>
      </c>
      <c r="F200" t="inlineStr">
        <is>
          <t>ÖSTERGÖTLANDS LÄN</t>
        </is>
      </c>
      <c r="G200" t="inlineStr">
        <is>
          <t>MJÖLBY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52655-2023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45225</v>
      </c>
      <c r="E201" s="1" t="n">
        <v>46237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46237</v>
      </c>
      <c r="F202" t="inlineStr">
        <is>
          <t>ÖSTERGÖTLANDS LÄN</t>
        </is>
      </c>
      <c r="G202" t="inlineStr">
        <is>
          <t>MJÖLBY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46237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46237</v>
      </c>
      <c r="F204" t="inlineStr">
        <is>
          <t>ÖSTERGÖTLANDS LÄN</t>
        </is>
      </c>
      <c r="G204" t="inlineStr">
        <is>
          <t>MJÖLBY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44663</v>
      </c>
      <c r="E205" s="1" t="n">
        <v>46237</v>
      </c>
      <c r="F205" t="inlineStr">
        <is>
          <t>ÖSTERGÖTLANDS LÄN</t>
        </is>
      </c>
      <c r="G205" t="inlineStr">
        <is>
          <t>MJÖLBY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45525</v>
      </c>
      <c r="E206" s="1" t="n">
        <v>46237</v>
      </c>
      <c r="F206" t="inlineStr">
        <is>
          <t>ÖSTERGÖTLANDS LÄN</t>
        </is>
      </c>
      <c r="G206" t="inlineStr">
        <is>
          <t>MJÖLBY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46237</v>
      </c>
      <c r="F207" t="inlineStr">
        <is>
          <t>ÖSTERGÖTLANDS LÄN</t>
        </is>
      </c>
      <c r="G207" t="inlineStr">
        <is>
          <t>MJÖLBY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46237</v>
      </c>
      <c r="F208" t="inlineStr">
        <is>
          <t>ÖSTERGÖTLANDS LÄN</t>
        </is>
      </c>
      <c r="G208" t="inlineStr">
        <is>
          <t>MJÖLBY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27232-2025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45812</v>
      </c>
      <c r="E209" s="1" t="n">
        <v>46237</v>
      </c>
      <c r="F209" t="inlineStr">
        <is>
          <t>ÖSTERGÖTLANDS LÄN</t>
        </is>
      </c>
      <c r="G209" t="inlineStr">
        <is>
          <t>MJÖLBY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46237</v>
      </c>
      <c r="F210" t="inlineStr">
        <is>
          <t>ÖSTERGÖTLANDS LÄN</t>
        </is>
      </c>
      <c r="G210" t="inlineStr">
        <is>
          <t>MJÖLBY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46237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46237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46237</v>
      </c>
      <c r="F213" t="inlineStr">
        <is>
          <t>ÖSTERGÖTLANDS LÄN</t>
        </is>
      </c>
      <c r="G213" t="inlineStr">
        <is>
          <t>MJÖLBY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46237</v>
      </c>
      <c r="F214" t="inlineStr">
        <is>
          <t>ÖSTERGÖTLANDS LÄN</t>
        </is>
      </c>
      <c r="G214" t="inlineStr">
        <is>
          <t>MJÖLBY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46237</v>
      </c>
      <c r="F215" t="inlineStr">
        <is>
          <t>ÖSTERGÖTLANDS LÄN</t>
        </is>
      </c>
      <c r="G215" t="inlineStr">
        <is>
          <t>MJÖLBY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44810</v>
      </c>
      <c r="E216" s="1" t="n">
        <v>46237</v>
      </c>
      <c r="F216" t="inlineStr">
        <is>
          <t>ÖSTERGÖTLANDS LÄN</t>
        </is>
      </c>
      <c r="G216" t="inlineStr">
        <is>
          <t>MJÖLBY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46237</v>
      </c>
      <c r="F217" t="inlineStr">
        <is>
          <t>ÖSTERGÖTLANDS LÄN</t>
        </is>
      </c>
      <c r="G217" t="inlineStr">
        <is>
          <t>MJÖLBY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46237</v>
      </c>
      <c r="F218" t="inlineStr">
        <is>
          <t>ÖSTERGÖTLANDS LÄN</t>
        </is>
      </c>
      <c r="G218" t="inlineStr">
        <is>
          <t>MJÖLBY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1827-2026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46197</v>
      </c>
      <c r="E219" s="1" t="n">
        <v>46237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2026-08-03T01:55:26Z</dcterms:created>
  <dcterms:modified xmlns:dcterms="http://purl.org/dc/terms/" xmlns:xsi="http://www.w3.org/2001/XMLSchema-instance" xsi:type="dcterms:W3CDTF">2026-08-03T01:55:26Z</dcterms:modified>
</cp:coreProperties>
</file>