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46317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46317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46317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7564-2025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45705</v>
      </c>
      <c r="E5" s="1" t="n">
        <v>46317</v>
      </c>
      <c r="F5" t="inlineStr">
        <is>
          <t>ÖSTERGÖTLANDS LÄN</t>
        </is>
      </c>
      <c r="G5" t="inlineStr">
        <is>
          <t>MJÖLBY</t>
        </is>
      </c>
      <c r="I5" t="n">
        <v>1.1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4</v>
      </c>
      <c r="U5" t="n">
        <v>4</v>
      </c>
      <c r="V5" s="2" t="inlineStr">
        <is>
          <t>Solvända</t>
        </is>
      </c>
      <c r="W5">
        <f>HYPERLINK("https://klasma.github.io/Logging_0586/artfynd/A 7564-2025 artfynd.xlsx", "A 7564-2025")</f>
        <v/>
      </c>
      <c r="X5">
        <f>HYPERLINK("https://klasma.github.io/Logging_0586/kartor/A 7564-2025 karta.png", "A 7564-2025")</f>
        <v/>
      </c>
      <c r="Y5">
        <f>HYPERLINK("https://klasma.github.io/Logging_0586/kartor_geotiff/A 7564-2025 georefererad karta.tif", "A 7564-2025")</f>
        <v/>
      </c>
      <c r="AA5">
        <f>HYPERLINK("https://klasma.github.io/Logging_0586/klagomål/A 7564-2025 FSC-klagomål.docx", "A 7564-2025")</f>
        <v/>
      </c>
      <c r="AB5">
        <f>HYPERLINK("https://klasma.github.io/Logging_0586/klagomålsmail/A 7564-2025 FSC-klagomål mail.docx", "A 7564-2025")</f>
        <v/>
      </c>
      <c r="AC5">
        <f>HYPERLINK("https://klasma.github.io/Logging_0586/tillsyn/A 7564-2025 tillsynsbegäran.docx", "A 7564-2025")</f>
        <v/>
      </c>
      <c r="AD5">
        <f>HYPERLINK("https://klasma.github.io/Logging_0586/tillsynsmail/A 7564-2025 tillsynsbegäran mail.docx", "A 7564-2025")</f>
        <v/>
      </c>
    </row>
    <row r="6" ht="15" customHeight="1">
      <c r="A6" t="inlineStr">
        <is>
          <t>A 41274-2025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45898</v>
      </c>
      <c r="E6" s="1" t="n">
        <v>46317</v>
      </c>
      <c r="F6" t="inlineStr">
        <is>
          <t>ÖSTERGÖTLANDS LÄN</t>
        </is>
      </c>
      <c r="G6" t="inlineStr">
        <is>
          <t>MJÖLBY</t>
        </is>
      </c>
      <c r="I6" t="n">
        <v>2.9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HYPERLINK("https://klasma.github.io/Logging_0586/artfynd/A 41274-2025 artfynd.xlsx", "A 41274-2025")</f>
        <v/>
      </c>
      <c r="X6">
        <f>HYPERLINK("https://klasma.github.io/Logging_0586/kartor/A 41274-2025 karta.png", "A 41274-2025")</f>
        <v/>
      </c>
      <c r="Y6">
        <f>HYPERLINK("https://klasma.github.io/Logging_0586/kartor_geotiff/A 41274-2025 georefererad karta.tif", "A 41274-2025")</f>
        <v/>
      </c>
      <c r="AA6">
        <f>HYPERLINK("https://klasma.github.io/Logging_0586/klagomål/A 41274-2025 FSC-klagomål.docx", "A 41274-2025")</f>
        <v/>
      </c>
      <c r="AB6">
        <f>HYPERLINK("https://klasma.github.io/Logging_0586/klagomålsmail/A 41274-2025 FSC-klagomål mail.docx", "A 41274-2025")</f>
        <v/>
      </c>
      <c r="AC6">
        <f>HYPERLINK("https://klasma.github.io/Logging_0586/tillsyn/A 41274-2025 tillsynsbegäran.docx", "A 41274-2025")</f>
        <v/>
      </c>
      <c r="AD6">
        <f>HYPERLINK("https://klasma.github.io/Logging_0586/tillsynsmail/A 41274-2025 tillsynsbegäran mail.docx", "A 41274-2025")</f>
        <v/>
      </c>
    </row>
    <row r="7" ht="15" customHeight="1">
      <c r="A7" t="inlineStr">
        <is>
          <t>A 46156-2025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45924</v>
      </c>
      <c r="E7" s="1" t="n">
        <v>46317</v>
      </c>
      <c r="F7" t="inlineStr">
        <is>
          <t>ÖSTERGÖTLANDS LÄN</t>
        </is>
      </c>
      <c r="G7" t="inlineStr">
        <is>
          <t>MJÖLBY</t>
        </is>
      </c>
      <c r="I7" t="n">
        <v>3.7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Tvåblad</t>
        </is>
      </c>
      <c r="W7">
        <f>HYPERLINK("https://klasma.github.io/Logging_0586/artfynd/A 46156-2025 artfynd.xlsx", "A 46156-2025")</f>
        <v/>
      </c>
      <c r="X7">
        <f>HYPERLINK("https://klasma.github.io/Logging_0586/kartor/A 46156-2025 karta.png", "A 46156-2025")</f>
        <v/>
      </c>
      <c r="Y7">
        <f>HYPERLINK("https://klasma.github.io/Logging_0586/kartor_geotiff/A 46156-2025 georefererad karta.tif", "A 46156-2025")</f>
        <v/>
      </c>
      <c r="AA7">
        <f>HYPERLINK("https://klasma.github.io/Logging_0586/klagomål/A 46156-2025 FSC-klagomål.docx", "A 46156-2025")</f>
        <v/>
      </c>
      <c r="AB7">
        <f>HYPERLINK("https://klasma.github.io/Logging_0586/klagomålsmail/A 46156-2025 FSC-klagomål mail.docx", "A 46156-2025")</f>
        <v/>
      </c>
      <c r="AC7">
        <f>HYPERLINK("https://klasma.github.io/Logging_0586/tillsyn/A 46156-2025 tillsynsbegäran.docx", "A 46156-2025")</f>
        <v/>
      </c>
      <c r="AD7">
        <f>HYPERLINK("https://klasma.github.io/Logging_0586/tillsynsmail/A 46156-2025 tillsynsbegäran mail.docx", "A 46156-2025")</f>
        <v/>
      </c>
    </row>
    <row r="8" ht="15" customHeight="1">
      <c r="A8" t="inlineStr">
        <is>
          <t>A 46123-2025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46317</v>
      </c>
      <c r="F8" t="inlineStr">
        <is>
          <t>ÖSTERGÖTLANDS LÄN</t>
        </is>
      </c>
      <c r="G8" t="inlineStr">
        <is>
          <t>MJÖLBY</t>
        </is>
      </c>
      <c r="I8" t="n">
        <v>5.6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Knärot</t>
        </is>
      </c>
      <c r="W8">
        <f>HYPERLINK("https://klasma.github.io/Logging_0586/artfynd/A 46123-2025 artfynd.xlsx", "A 46123-2025")</f>
        <v/>
      </c>
      <c r="X8">
        <f>HYPERLINK("https://klasma.github.io/Logging_0586/kartor/A 46123-2025 karta.png", "A 46123-2025")</f>
        <v/>
      </c>
      <c r="Y8">
        <f>HYPERLINK("https://klasma.github.io/Logging_0586/kartor_geotiff/A 46123-2025 georefererad karta.tif", "A 46123-2025")</f>
        <v/>
      </c>
      <c r="Z8">
        <f>HYPERLINK("https://klasma.github.io/Logging_0586/knärot/A 46123-2025 karta knärot.png", "A 46123-2025")</f>
        <v/>
      </c>
      <c r="AA8">
        <f>HYPERLINK("https://klasma.github.io/Logging_0586/klagomål/A 46123-2025 FSC-klagomål.docx", "A 46123-2025")</f>
        <v/>
      </c>
      <c r="AB8">
        <f>HYPERLINK("https://klasma.github.io/Logging_0586/klagomålsmail/A 46123-2025 FSC-klagomål mail.docx", "A 46123-2025")</f>
        <v/>
      </c>
      <c r="AC8">
        <f>HYPERLINK("https://klasma.github.io/Logging_0586/tillsyn/A 46123-2025 tillsynsbegäran.docx", "A 46123-2025")</f>
        <v/>
      </c>
      <c r="AD8">
        <f>HYPERLINK("https://klasma.github.io/Logging_0586/tillsynsmail/A 46123-2025 tillsynsbegäran mail.docx", "A 46123-2025")</f>
        <v/>
      </c>
    </row>
    <row r="9" ht="15" customHeight="1">
      <c r="A9" t="inlineStr">
        <is>
          <t>A 46522-2025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45926</v>
      </c>
      <c r="E9" s="1" t="n">
        <v>46317</v>
      </c>
      <c r="F9" t="inlineStr">
        <is>
          <t>ÖSTERGÖTLANDS LÄN</t>
        </is>
      </c>
      <c r="G9" t="inlineStr">
        <is>
          <t>MJÖLBY</t>
        </is>
      </c>
      <c r="H9" t="inlineStr">
        <is>
          <t>Sveaskog</t>
        </is>
      </c>
      <c r="I9" t="n">
        <v>1.2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HYPERLINK("https://klasma.github.io/Logging_0586/artfynd/A 46522-2025 artfynd.xlsx", "A 46522-2025")</f>
        <v/>
      </c>
      <c r="X9">
        <f>HYPERLINK("https://klasma.github.io/Logging_0586/kartor/A 46522-2025 karta.png", "A 46522-2025")</f>
        <v/>
      </c>
      <c r="Y9">
        <f>HYPERLINK("https://klasma.github.io/Logging_0586/kartor_geotiff/A 46522-2025 georefererad karta.tif", "A 46522-2025")</f>
        <v/>
      </c>
      <c r="AA9">
        <f>HYPERLINK("https://klasma.github.io/Logging_0586/klagomål/A 46522-2025 FSC-klagomål.docx", "A 46522-2025")</f>
        <v/>
      </c>
      <c r="AB9">
        <f>HYPERLINK("https://klasma.github.io/Logging_0586/klagomålsmail/A 46522-2025 FSC-klagomål mail.docx", "A 46522-2025")</f>
        <v/>
      </c>
      <c r="AC9">
        <f>HYPERLINK("https://klasma.github.io/Logging_0586/tillsyn/A 46522-2025 tillsynsbegäran.docx", "A 46522-2025")</f>
        <v/>
      </c>
      <c r="AD9">
        <f>HYPERLINK("https://klasma.github.io/Logging_0586/tillsynsmail/A 46522-2025 tillsynsbegäran mail.docx", "A 46522-2025")</f>
        <v/>
      </c>
    </row>
    <row r="10" ht="15" customHeight="1">
      <c r="A10" t="inlineStr">
        <is>
          <t>A 50403-2022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46317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2.4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Springkorn</t>
        </is>
      </c>
      <c r="W10">
        <f>HYPERLINK("https://klasma.github.io/Logging_0586/artfynd/A 50403-2022 artfynd.xlsx", "A 50403-2022")</f>
        <v/>
      </c>
      <c r="X10">
        <f>HYPERLINK("https://klasma.github.io/Logging_0586/kartor/A 50403-2022 karta.png", "A 50403-2022")</f>
        <v/>
      </c>
      <c r="Y10">
        <f>HYPERLINK("https://klasma.github.io/Logging_0586/kartor_geotiff/A 50403-2022 georefererad karta.tif", "A 50403-2022")</f>
        <v/>
      </c>
      <c r="AA10">
        <f>HYPERLINK("https://klasma.github.io/Logging_0586/klagomål/A 50403-2022 FSC-klagomål.docx", "A 50403-2022")</f>
        <v/>
      </c>
      <c r="AB10">
        <f>HYPERLINK("https://klasma.github.io/Logging_0586/klagomålsmail/A 50403-2022 FSC-klagomål mail.docx", "A 50403-2022")</f>
        <v/>
      </c>
      <c r="AC10">
        <f>HYPERLINK("https://klasma.github.io/Logging_0586/tillsyn/A 50403-2022 tillsynsbegäran.docx", "A 50403-2022")</f>
        <v/>
      </c>
      <c r="AD10">
        <f>HYPERLINK("https://klasma.github.io/Logging_0586/tillsynsmail/A 50403-2022 tillsynsbegäran mail.docx", "A 50403-2022")</f>
        <v/>
      </c>
    </row>
    <row r="11" ht="15" customHeight="1">
      <c r="A11" t="inlineStr">
        <is>
          <t>A 9030-2022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46317</v>
      </c>
      <c r="F11" t="inlineStr">
        <is>
          <t>ÖSTERGÖTLANDS LÄN</t>
        </is>
      </c>
      <c r="G11" t="inlineStr">
        <is>
          <t>MJÖLBY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HYPERLINK("https://klasma.github.io/Logging_0586/artfynd/A 9030-2022 artfynd.xlsx", "A 9030-2022")</f>
        <v/>
      </c>
      <c r="X11">
        <f>HYPERLINK("https://klasma.github.io/Logging_0586/kartor/A 9030-2022 karta.png", "A 9030-2022")</f>
        <v/>
      </c>
      <c r="Y11">
        <f>HYPERLINK("https://klasma.github.io/Logging_0586/kartor_geotiff/A 9030-2022 georefererad karta.tif", "A 9030-2022")</f>
        <v/>
      </c>
      <c r="AA11">
        <f>HYPERLINK("https://klasma.github.io/Logging_0586/klagomål/A 9030-2022 FSC-klagomål.docx", "A 9030-2022")</f>
        <v/>
      </c>
      <c r="AB11">
        <f>HYPERLINK("https://klasma.github.io/Logging_0586/klagomålsmail/A 9030-2022 FSC-klagomål mail.docx", "A 9030-2022")</f>
        <v/>
      </c>
      <c r="AC11">
        <f>HYPERLINK("https://klasma.github.io/Logging_0586/tillsyn/A 9030-2022 tillsynsbegäran.docx", "A 9030-2022")</f>
        <v/>
      </c>
      <c r="AD11">
        <f>HYPERLINK("https://klasma.github.io/Logging_0586/tillsynsmail/A 9030-2022 tillsynsbegäran mail.docx", "A 9030-2022")</f>
        <v/>
      </c>
    </row>
    <row r="12" ht="15" customHeight="1">
      <c r="A12" t="inlineStr">
        <is>
          <t>A 45164-2023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45191</v>
      </c>
      <c r="E12" s="1" t="n">
        <v>46317</v>
      </c>
      <c r="F12" t="inlineStr">
        <is>
          <t>ÖSTERGÖTLANDS LÄN</t>
        </is>
      </c>
      <c r="G12" t="inlineStr">
        <is>
          <t>MJÖLBY</t>
        </is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Skogsduva</t>
        </is>
      </c>
      <c r="W12">
        <f>HYPERLINK("https://klasma.github.io/Logging_0586/artfynd/A 45164-2023 artfynd.xlsx", "A 45164-2023")</f>
        <v/>
      </c>
      <c r="X12">
        <f>HYPERLINK("https://klasma.github.io/Logging_0586/kartor/A 45164-2023 karta.png", "A 45164-2023")</f>
        <v/>
      </c>
      <c r="Y12">
        <f>HYPERLINK("https://klasma.github.io/Logging_0586/kartor_geotiff/A 45164-2023 georefererad karta.tif", "A 45164-2023")</f>
        <v/>
      </c>
      <c r="AA12">
        <f>HYPERLINK("https://klasma.github.io/Logging_0586/klagomål/A 45164-2023 FSC-klagomål.docx", "A 45164-2023")</f>
        <v/>
      </c>
      <c r="AB12">
        <f>HYPERLINK("https://klasma.github.io/Logging_0586/klagomålsmail/A 45164-2023 FSC-klagomål mail.docx", "A 45164-2023")</f>
        <v/>
      </c>
      <c r="AC12">
        <f>HYPERLINK("https://klasma.github.io/Logging_0586/tillsyn/A 45164-2023 tillsynsbegäran.docx", "A 45164-2023")</f>
        <v/>
      </c>
      <c r="AD12">
        <f>HYPERLINK("https://klasma.github.io/Logging_0586/tillsynsmail/A 45164-2023 tillsynsbegäran mail.docx", "A 45164-2023")</f>
        <v/>
      </c>
    </row>
    <row r="13" ht="15" customHeight="1">
      <c r="A13" t="inlineStr">
        <is>
          <t>A 13567-2025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45736</v>
      </c>
      <c r="E13" s="1" t="n">
        <v>46317</v>
      </c>
      <c r="F13" t="inlineStr">
        <is>
          <t>ÖSTERGÖTLANDS LÄN</t>
        </is>
      </c>
      <c r="G13" t="inlineStr">
        <is>
          <t>MJÖLBY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Klubbsprötad bastardsvärmare</t>
        </is>
      </c>
      <c r="W13">
        <f>HYPERLINK("https://klasma.github.io/Logging_0586/artfynd/A 13567-2025 artfynd.xlsx", "A 13567-2025")</f>
        <v/>
      </c>
      <c r="X13">
        <f>HYPERLINK("https://klasma.github.io/Logging_0586/kartor/A 13567-2025 karta.png", "A 13567-2025")</f>
        <v/>
      </c>
      <c r="Y13">
        <f>HYPERLINK("https://klasma.github.io/Logging_0586/kartor_geotiff/A 13567-2025 georefererad karta.tif", "A 13567-2025")</f>
        <v/>
      </c>
      <c r="AA13">
        <f>HYPERLINK("https://klasma.github.io/Logging_0586/klagomål/A 13567-2025 FSC-klagomål.docx", "A 13567-2025")</f>
        <v/>
      </c>
      <c r="AB13">
        <f>HYPERLINK("https://klasma.github.io/Logging_0586/klagomålsmail/A 13567-2025 FSC-klagomål mail.docx", "A 13567-2025")</f>
        <v/>
      </c>
      <c r="AC13">
        <f>HYPERLINK("https://klasma.github.io/Logging_0586/tillsyn/A 13567-2025 tillsynsbegäran.docx", "A 13567-2025")</f>
        <v/>
      </c>
      <c r="AD13">
        <f>HYPERLINK("https://klasma.github.io/Logging_0586/tillsynsmail/A 13567-2025 tillsynsbegäran mail.docx", "A 13567-2025")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46317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32573-2026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46239</v>
      </c>
      <c r="E15" s="1" t="n">
        <v>46317</v>
      </c>
      <c r="F15" t="inlineStr">
        <is>
          <t>ÖSTERGÖTLANDS LÄN</t>
        </is>
      </c>
      <c r="G15" t="inlineStr">
        <is>
          <t>MJÖLBY</t>
        </is>
      </c>
      <c r="H15" t="inlineStr">
        <is>
          <t>Övriga Aktiebolag</t>
        </is>
      </c>
      <c r="I15" t="n">
        <v>6.6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HYPERLINK("https://klasma.github.io/Logging_0586/artfynd/A 32573-2026 artfynd.xlsx", "A 32573-2026")</f>
        <v/>
      </c>
      <c r="X15">
        <f>HYPERLINK("https://klasma.github.io/Logging_0586/kartor/A 32573-2026 karta.png", "A 32573-2026")</f>
        <v/>
      </c>
      <c r="Y15">
        <f>HYPERLINK("https://klasma.github.io/Logging_0586/kartor_geotiff/A 32573-2026 georefererad karta.tif", "A 32573-2026")</f>
        <v/>
      </c>
      <c r="AA15">
        <f>HYPERLINK("https://klasma.github.io/Logging_0586/klagomål/A 32573-2026 FSC-klagomål.docx", "A 32573-2026")</f>
        <v/>
      </c>
      <c r="AB15">
        <f>HYPERLINK("https://klasma.github.io/Logging_0586/klagomålsmail/A 32573-2026 FSC-klagomål mail.docx", "A 32573-2026")</f>
        <v/>
      </c>
      <c r="AC15">
        <f>HYPERLINK("https://klasma.github.io/Logging_0586/tillsyn/A 32573-2026 tillsynsbegäran.docx", "A 32573-2026")</f>
        <v/>
      </c>
      <c r="AD15">
        <f>HYPERLINK("https://klasma.github.io/Logging_0586/tillsynsmail/A 32573-2026 tillsynsbegäran mail.docx", "A 32573-2026")</f>
        <v/>
      </c>
    </row>
    <row r="16" ht="15" customHeight="1">
      <c r="A16" t="inlineStr">
        <is>
          <t>A 32554-2026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46317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Purpurknipprot</t>
        </is>
      </c>
      <c r="W16">
        <f>HYPERLINK("https://klasma.github.io/Logging_0586/artfynd/A 32554-2026 artfynd.xlsx", "A 32554-2026")</f>
        <v/>
      </c>
      <c r="X16">
        <f>HYPERLINK("https://klasma.github.io/Logging_0586/kartor/A 32554-2026 karta.png", "A 32554-2026")</f>
        <v/>
      </c>
      <c r="Y16">
        <f>HYPERLINK("https://klasma.github.io/Logging_0586/kartor_geotiff/A 32554-2026 georefererad karta.tif", "A 32554-2026")</f>
        <v/>
      </c>
      <c r="AA16">
        <f>HYPERLINK("https://klasma.github.io/Logging_0586/klagomål/A 32554-2026 FSC-klagomål.docx", "A 32554-2026")</f>
        <v/>
      </c>
      <c r="AB16">
        <f>HYPERLINK("https://klasma.github.io/Logging_0586/klagomålsmail/A 32554-2026 FSC-klagomål mail.docx", "A 32554-2026")</f>
        <v/>
      </c>
      <c r="AC16">
        <f>HYPERLINK("https://klasma.github.io/Logging_0586/tillsyn/A 32554-2026 tillsynsbegäran.docx", "A 32554-2026")</f>
        <v/>
      </c>
      <c r="AD16">
        <f>HYPERLINK("https://klasma.github.io/Logging_0586/tillsynsmail/A 32554-2026 tillsynsbegäran mail.docx", "A 32554-2026")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46317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46317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60983-2023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45261</v>
      </c>
      <c r="E19" s="1" t="n">
        <v>46317</v>
      </c>
      <c r="F19" t="inlineStr">
        <is>
          <t>ÖSTERGÖTLANDS LÄN</t>
        </is>
      </c>
      <c r="G19" t="inlineStr">
        <is>
          <t>MJÖLBY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HYPERLINK("https://klasma.github.io/Logging_0586/artfynd/A 60983-2023 artfynd.xlsx", "A 60983-2023")</f>
        <v/>
      </c>
      <c r="X19">
        <f>HYPERLINK("https://klasma.github.io/Logging_0586/kartor/A 60983-2023 karta.png", "A 60983-2023")</f>
        <v/>
      </c>
      <c r="Y19">
        <f>HYPERLINK("https://klasma.github.io/Logging_0586/kartor_geotiff/A 60983-2023 georefererad karta.tif", "A 60983-2023")</f>
        <v/>
      </c>
      <c r="AA19">
        <f>HYPERLINK("https://klasma.github.io/Logging_0586/klagomål/A 60983-2023 FSC-klagomål.docx", "A 60983-2023")</f>
        <v/>
      </c>
      <c r="AB19">
        <f>HYPERLINK("https://klasma.github.io/Logging_0586/klagomålsmail/A 60983-2023 FSC-klagomål mail.docx", "A 60983-2023")</f>
        <v/>
      </c>
      <c r="AC19">
        <f>HYPERLINK("https://klasma.github.io/Logging_0586/tillsyn/A 60983-2023 tillsynsbegäran.docx", "A 60983-2023")</f>
        <v/>
      </c>
      <c r="AD19">
        <f>HYPERLINK("https://klasma.github.io/Logging_0586/tillsynsmail/A 60983-2023 tillsynsbegäran mail.docx", "A 60983-2023")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46317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46317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46317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41635-2026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46301</v>
      </c>
      <c r="E23" s="1" t="n">
        <v>46317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HYPERLINK("https://klasma.github.io/Logging_0586/artfynd/A 41635-2026 artfynd.xlsx", "A 41635-2026")</f>
        <v/>
      </c>
      <c r="X23">
        <f>HYPERLINK("https://klasma.github.io/Logging_0586/kartor/A 41635-2026 karta.png", "A 41635-2026")</f>
        <v/>
      </c>
      <c r="Y23">
        <f>HYPERLINK("https://klasma.github.io/Logging_0586/kartor_geotiff/A 41635-2026 georefererad karta.tif", "A 41635-2026")</f>
        <v/>
      </c>
      <c r="AA23">
        <f>HYPERLINK("https://klasma.github.io/Logging_0586/klagomål/A 41635-2026 FSC-klagomål.docx", "A 41635-2026")</f>
        <v/>
      </c>
      <c r="AB23">
        <f>HYPERLINK("https://klasma.github.io/Logging_0586/klagomålsmail/A 41635-2026 FSC-klagomål mail.docx", "A 41635-2026")</f>
        <v/>
      </c>
      <c r="AC23">
        <f>HYPERLINK("https://klasma.github.io/Logging_0586/tillsyn/A 41635-2026 tillsynsbegäran.docx", "A 41635-2026")</f>
        <v/>
      </c>
      <c r="AD23">
        <f>HYPERLINK("https://klasma.github.io/Logging_0586/tillsynsmail/A 41635-2026 tillsynsbegäran mail.docx", "A 41635-2026")</f>
        <v/>
      </c>
    </row>
    <row r="24" ht="15" customHeight="1">
      <c r="A24" t="inlineStr">
        <is>
          <t>A 43425-2026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46314</v>
      </c>
      <c r="E24" s="1" t="n">
        <v>46317</v>
      </c>
      <c r="F24" t="inlineStr">
        <is>
          <t>ÖSTERGÖTLANDS LÄN</t>
        </is>
      </c>
      <c r="G24" t="inlineStr">
        <is>
          <t>MJÖLBY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 nållav</t>
        </is>
      </c>
      <c r="W24">
        <f>HYPERLINK("https://klasma.github.io/Logging_0586/artfynd/A 43425-2026 artfynd.xlsx", "A 43425-2026")</f>
        <v/>
      </c>
      <c r="X24">
        <f>HYPERLINK("https://klasma.github.io/Logging_0586/kartor/A 43425-2026 karta.png", "A 43425-2026")</f>
        <v/>
      </c>
      <c r="Y24">
        <f>HYPERLINK("https://klasma.github.io/Logging_0586/kartor_geotiff/A 43425-2026 georefererad karta.tif", "A 43425-2026")</f>
        <v/>
      </c>
      <c r="AA24">
        <f>HYPERLINK("https://klasma.github.io/Logging_0586/klagomål/A 43425-2026 FSC-klagomål.docx", "A 43425-2026")</f>
        <v/>
      </c>
      <c r="AB24">
        <f>HYPERLINK("https://klasma.github.io/Logging_0586/klagomålsmail/A 43425-2026 FSC-klagomål mail.docx", "A 43425-2026")</f>
        <v/>
      </c>
      <c r="AC24">
        <f>HYPERLINK("https://klasma.github.io/Logging_0586/tillsyn/A 43425-2026 tillsynsbegäran.docx", "A 43425-2026")</f>
        <v/>
      </c>
      <c r="AD24">
        <f>HYPERLINK("https://klasma.github.io/Logging_0586/tillsynsmail/A 43425-2026 tillsynsbegäran mail.docx", "A 43425-2026")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46317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46317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46317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46317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46317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34431-2022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44792</v>
      </c>
      <c r="E30" s="1" t="n">
        <v>46317</v>
      </c>
      <c r="F30" t="inlineStr">
        <is>
          <t>ÖSTERGÖTLANDS LÄN</t>
        </is>
      </c>
      <c r="G30" t="inlineStr">
        <is>
          <t>MJÖLBY</t>
        </is>
      </c>
      <c r="H30" t="inlineStr">
        <is>
          <t>Kommuner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46317</v>
      </c>
      <c r="F31" t="inlineStr">
        <is>
          <t>ÖSTERGÖTLANDS LÄN</t>
        </is>
      </c>
      <c r="G31" t="inlineStr">
        <is>
          <t>MJÖLBY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46317</v>
      </c>
      <c r="F32" t="inlineStr">
        <is>
          <t>ÖSTERGÖTLANDS LÄN</t>
        </is>
      </c>
      <c r="G32" t="inlineStr">
        <is>
          <t>MJÖLBY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51475-2023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45221</v>
      </c>
      <c r="E33" s="1" t="n">
        <v>46317</v>
      </c>
      <c r="F33" t="inlineStr">
        <is>
          <t>ÖSTERGÖTLANDS LÄN</t>
        </is>
      </c>
      <c r="G33" t="inlineStr">
        <is>
          <t>MJÖLBY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46317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46317</v>
      </c>
      <c r="F35" t="inlineStr">
        <is>
          <t>ÖSTERGÖTLANDS LÄN</t>
        </is>
      </c>
      <c r="G35" t="inlineStr">
        <is>
          <t>MJÖLBY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17707-2023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45037</v>
      </c>
      <c r="E36" s="1" t="n">
        <v>46317</v>
      </c>
      <c r="F36" t="inlineStr">
        <is>
          <t>ÖSTERGÖTLANDS LÄN</t>
        </is>
      </c>
      <c r="G36" t="inlineStr">
        <is>
          <t>MJÖLBY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62129-2025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46006</v>
      </c>
      <c r="E37" s="1" t="n">
        <v>46317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46006</v>
      </c>
      <c r="E38" s="1" t="n">
        <v>46317</v>
      </c>
      <c r="F38" t="inlineStr">
        <is>
          <t>ÖSTERGÖTLANDS LÄN</t>
        </is>
      </c>
      <c r="G38" t="inlineStr">
        <is>
          <t>MJÖLBY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46317</v>
      </c>
      <c r="F39" t="inlineStr">
        <is>
          <t>ÖSTERGÖTLANDS LÄN</t>
        </is>
      </c>
      <c r="G39" t="inlineStr">
        <is>
          <t>MJÖLBY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46317</v>
      </c>
      <c r="F40" t="inlineStr">
        <is>
          <t>ÖSTERGÖTLANDS LÄN</t>
        </is>
      </c>
      <c r="G40" t="inlineStr">
        <is>
          <t>MJÖLBY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57284-2024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46317</v>
      </c>
      <c r="F41" t="inlineStr">
        <is>
          <t>ÖSTERGÖTLANDS LÄN</t>
        </is>
      </c>
      <c r="G41" t="inlineStr">
        <is>
          <t>MJÖLBY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46317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46013</v>
      </c>
      <c r="E43" s="1" t="n">
        <v>46317</v>
      </c>
      <c r="F43" t="inlineStr">
        <is>
          <t>ÖSTERGÖTLANDS LÄN</t>
        </is>
      </c>
      <c r="G43" t="inlineStr">
        <is>
          <t>MJÖLBY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46317</v>
      </c>
      <c r="F44" t="inlineStr">
        <is>
          <t>ÖSTERGÖTLANDS LÄN</t>
        </is>
      </c>
      <c r="G44" t="inlineStr">
        <is>
          <t>MJÖLBY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46317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46317</v>
      </c>
      <c r="F46" t="inlineStr">
        <is>
          <t>ÖSTERGÖTLANDS LÄN</t>
        </is>
      </c>
      <c r="G46" t="inlineStr">
        <is>
          <t>MJÖLBY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43032-2025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46317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27232-2025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45812</v>
      </c>
      <c r="E48" s="1" t="n">
        <v>46317</v>
      </c>
      <c r="F48" t="inlineStr">
        <is>
          <t>ÖSTERGÖTLANDS LÄN</t>
        </is>
      </c>
      <c r="G48" t="inlineStr">
        <is>
          <t>MJÖLBY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46317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66977-2021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46317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46317</v>
      </c>
      <c r="F51" t="inlineStr">
        <is>
          <t>ÖSTERGÖTLANDS LÄN</t>
        </is>
      </c>
      <c r="G51" t="inlineStr">
        <is>
          <t>MJÖLBY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45924</v>
      </c>
      <c r="E52" s="1" t="n">
        <v>46317</v>
      </c>
      <c r="F52" t="inlineStr">
        <is>
          <t>ÖSTERGÖTLANDS LÄN</t>
        </is>
      </c>
      <c r="G52" t="inlineStr">
        <is>
          <t>MJÖLBY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45924</v>
      </c>
      <c r="E53" s="1" t="n">
        <v>46317</v>
      </c>
      <c r="F53" t="inlineStr">
        <is>
          <t>ÖSTERGÖTLANDS LÄN</t>
        </is>
      </c>
      <c r="G53" t="inlineStr">
        <is>
          <t>MJÖLBY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45924</v>
      </c>
      <c r="E54" s="1" t="n">
        <v>46317</v>
      </c>
      <c r="F54" t="inlineStr">
        <is>
          <t>ÖSTERGÖTLANDS LÄN</t>
        </is>
      </c>
      <c r="G54" t="inlineStr">
        <is>
          <t>MJÖLBY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45926</v>
      </c>
      <c r="E55" s="1" t="n">
        <v>46317</v>
      </c>
      <c r="F55" t="inlineStr">
        <is>
          <t>ÖSTERGÖTLANDS LÄN</t>
        </is>
      </c>
      <c r="G55" t="inlineStr">
        <is>
          <t>MJÖLBY</t>
        </is>
      </c>
      <c r="H55" t="inlineStr">
        <is>
          <t>Sveaskog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65921-2021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46317</v>
      </c>
      <c r="F56" t="inlineStr">
        <is>
          <t>ÖSTERGÖTLANDS LÄN</t>
        </is>
      </c>
      <c r="G56" t="inlineStr">
        <is>
          <t>MJÖLBY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46317</v>
      </c>
      <c r="F57" t="inlineStr">
        <is>
          <t>ÖSTERGÖTLANDS LÄN</t>
        </is>
      </c>
      <c r="G57" t="inlineStr">
        <is>
          <t>MJÖLBY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46317</v>
      </c>
      <c r="F58" t="inlineStr">
        <is>
          <t>ÖSTERGÖTLANDS LÄN</t>
        </is>
      </c>
      <c r="G58" t="inlineStr">
        <is>
          <t>MJÖLBY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46317</v>
      </c>
      <c r="F59" t="inlineStr">
        <is>
          <t>ÖSTERGÖTLANDS LÄN</t>
        </is>
      </c>
      <c r="G59" t="inlineStr">
        <is>
          <t>MJÖLBY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46317</v>
      </c>
      <c r="F60" t="inlineStr">
        <is>
          <t>ÖSTERGÖTLANDS LÄN</t>
        </is>
      </c>
      <c r="G60" t="inlineStr">
        <is>
          <t>MJÖLBY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46317</v>
      </c>
      <c r="F61" t="inlineStr">
        <is>
          <t>ÖSTERGÖTLANDS LÄN</t>
        </is>
      </c>
      <c r="G61" t="inlineStr">
        <is>
          <t>MJÖLBY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46317</v>
      </c>
      <c r="F62" t="inlineStr">
        <is>
          <t>ÖSTERGÖTLANDS LÄN</t>
        </is>
      </c>
      <c r="G62" t="inlineStr">
        <is>
          <t>MJÖLBY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44957</v>
      </c>
      <c r="E63" s="1" t="n">
        <v>46317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46317</v>
      </c>
      <c r="F64" t="inlineStr">
        <is>
          <t>ÖSTERGÖTLANDS LÄN</t>
        </is>
      </c>
      <c r="G64" t="inlineStr">
        <is>
          <t>MJÖLBY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46317</v>
      </c>
      <c r="F65" t="inlineStr">
        <is>
          <t>ÖSTERGÖTLANDS LÄN</t>
        </is>
      </c>
      <c r="G65" t="inlineStr">
        <is>
          <t>MJÖLBY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45567</v>
      </c>
      <c r="E66" s="1" t="n">
        <v>46317</v>
      </c>
      <c r="F66" t="inlineStr">
        <is>
          <t>ÖSTERGÖTLANDS LÄN</t>
        </is>
      </c>
      <c r="G66" t="inlineStr">
        <is>
          <t>MJÖLBY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45261</v>
      </c>
      <c r="E67" s="1" t="n">
        <v>46317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46317</v>
      </c>
      <c r="F68" t="inlineStr">
        <is>
          <t>ÖSTERGÖTLANDS LÄN</t>
        </is>
      </c>
      <c r="G68" t="inlineStr">
        <is>
          <t>MJÖLBY</t>
        </is>
      </c>
      <c r="H68" t="inlineStr">
        <is>
          <t>Kyrkan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46317</v>
      </c>
      <c r="F69" t="inlineStr">
        <is>
          <t>ÖSTERGÖTLANDS LÄN</t>
        </is>
      </c>
      <c r="G69" t="inlineStr">
        <is>
          <t>MJÖLBY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46317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46317</v>
      </c>
      <c r="F71" t="inlineStr">
        <is>
          <t>ÖSTERGÖTLANDS LÄN</t>
        </is>
      </c>
      <c r="G71" t="inlineStr">
        <is>
          <t>MJÖLBY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44936</v>
      </c>
      <c r="E72" s="1" t="n">
        <v>46317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46317</v>
      </c>
      <c r="F73" t="inlineStr">
        <is>
          <t>ÖSTERGÖTLANDS LÄN</t>
        </is>
      </c>
      <c r="G73" t="inlineStr">
        <is>
          <t>MJÖLBY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46317</v>
      </c>
      <c r="F74" t="inlineStr">
        <is>
          <t>ÖSTERGÖTLANDS LÄN</t>
        </is>
      </c>
      <c r="G74" t="inlineStr">
        <is>
          <t>MJÖLBY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46317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46317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44770-2025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45917</v>
      </c>
      <c r="E77" s="1" t="n">
        <v>46317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46317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46317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45401</v>
      </c>
      <c r="E80" s="1" t="n">
        <v>46317</v>
      </c>
      <c r="F80" t="inlineStr">
        <is>
          <t>ÖSTERGÖTLANDS LÄN</t>
        </is>
      </c>
      <c r="G80" t="inlineStr">
        <is>
          <t>MJÖLBY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46317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46317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46317</v>
      </c>
      <c r="F83" t="inlineStr">
        <is>
          <t>ÖSTERGÖTLANDS LÄN</t>
        </is>
      </c>
      <c r="G83" t="inlineStr">
        <is>
          <t>MJÖLBY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46317</v>
      </c>
      <c r="F84" t="inlineStr">
        <is>
          <t>ÖSTERGÖTLANDS LÄN</t>
        </is>
      </c>
      <c r="G84" t="inlineStr">
        <is>
          <t>MJÖLBY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45982</v>
      </c>
      <c r="E85" s="1" t="n">
        <v>46317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44946</v>
      </c>
      <c r="E86" s="1" t="n">
        <v>46317</v>
      </c>
      <c r="F86" t="inlineStr">
        <is>
          <t>ÖSTERGÖTLANDS LÄN</t>
        </is>
      </c>
      <c r="G86" t="inlineStr">
        <is>
          <t>MJÖLBY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46317</v>
      </c>
      <c r="F87" t="inlineStr">
        <is>
          <t>ÖSTERGÖTLANDS LÄN</t>
        </is>
      </c>
      <c r="G87" t="inlineStr">
        <is>
          <t>MJÖLBY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46317</v>
      </c>
      <c r="F88" t="inlineStr">
        <is>
          <t>ÖSTERGÖTLANDS LÄN</t>
        </is>
      </c>
      <c r="G88" t="inlineStr">
        <is>
          <t>MJÖLBY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46317</v>
      </c>
      <c r="F89" t="inlineStr">
        <is>
          <t>ÖSTERGÖTLANDS LÄN</t>
        </is>
      </c>
      <c r="G89" t="inlineStr">
        <is>
          <t>MJÖLBY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46317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46317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46317</v>
      </c>
      <c r="F92" t="inlineStr">
        <is>
          <t>ÖSTERGÖTLANDS LÄN</t>
        </is>
      </c>
      <c r="G92" t="inlineStr">
        <is>
          <t>MJÖLBY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46317</v>
      </c>
      <c r="F93" t="inlineStr">
        <is>
          <t>ÖSTERGÖTLANDS LÄN</t>
        </is>
      </c>
      <c r="G93" t="inlineStr">
        <is>
          <t>MJÖLBY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46317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63449-2023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45273</v>
      </c>
      <c r="E95" s="1" t="n">
        <v>46317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46317</v>
      </c>
      <c r="F96" t="inlineStr">
        <is>
          <t>ÖSTERGÖTLANDS LÄN</t>
        </is>
      </c>
      <c r="G96" t="inlineStr">
        <is>
          <t>MJÖLBY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45152</v>
      </c>
      <c r="E97" s="1" t="n">
        <v>46317</v>
      </c>
      <c r="F97" t="inlineStr">
        <is>
          <t>ÖSTERGÖTLANDS LÄN</t>
        </is>
      </c>
      <c r="G97" t="inlineStr">
        <is>
          <t>MJÖLBY</t>
        </is>
      </c>
      <c r="H97" t="inlineStr">
        <is>
          <t>Allmännings- och besparingsskogar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46317</v>
      </c>
      <c r="F98" t="inlineStr">
        <is>
          <t>ÖSTERGÖTLANDS LÄN</t>
        </is>
      </c>
      <c r="G98" t="inlineStr">
        <is>
          <t>MJÖLBY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46079</v>
      </c>
      <c r="E99" s="1" t="n">
        <v>46317</v>
      </c>
      <c r="F99" t="inlineStr">
        <is>
          <t>ÖSTERGÖTLANDS LÄN</t>
        </is>
      </c>
      <c r="G99" t="inlineStr">
        <is>
          <t>MJÖLBY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46317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46104</v>
      </c>
      <c r="E101" s="1" t="n">
        <v>46317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46317</v>
      </c>
      <c r="F102" t="inlineStr">
        <is>
          <t>ÖSTERGÖTLANDS LÄN</t>
        </is>
      </c>
      <c r="G102" t="inlineStr">
        <is>
          <t>MJÖLBY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46104</v>
      </c>
      <c r="E103" s="1" t="n">
        <v>46317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45161</v>
      </c>
      <c r="E104" s="1" t="n">
        <v>46317</v>
      </c>
      <c r="F104" t="inlineStr">
        <is>
          <t>ÖSTERGÖTLANDS LÄN</t>
        </is>
      </c>
      <c r="G104" t="inlineStr">
        <is>
          <t>MJÖLBY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46108</v>
      </c>
      <c r="E105" s="1" t="n">
        <v>46317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44903</v>
      </c>
      <c r="E106" s="1" t="n">
        <v>46317</v>
      </c>
      <c r="F106" t="inlineStr">
        <is>
          <t>ÖSTERGÖTLANDS LÄN</t>
        </is>
      </c>
      <c r="G106" t="inlineStr">
        <is>
          <t>MJÖLBY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46317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Kyrkan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45376</v>
      </c>
      <c r="E108" s="1" t="n">
        <v>46317</v>
      </c>
      <c r="F108" t="inlineStr">
        <is>
          <t>ÖSTERGÖTLANDS LÄN</t>
        </is>
      </c>
      <c r="G108" t="inlineStr">
        <is>
          <t>MJÖLBY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46121</v>
      </c>
      <c r="E109" s="1" t="n">
        <v>46317</v>
      </c>
      <c r="F109" t="inlineStr">
        <is>
          <t>ÖSTERGÖTLANDS LÄN</t>
        </is>
      </c>
      <c r="G109" t="inlineStr">
        <is>
          <t>MJÖLBY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46121</v>
      </c>
      <c r="E110" s="1" t="n">
        <v>46317</v>
      </c>
      <c r="F110" t="inlineStr">
        <is>
          <t>ÖSTERGÖTLANDS LÄN</t>
        </is>
      </c>
      <c r="G110" t="inlineStr">
        <is>
          <t>MJÖLBY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18517-2026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46317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59411-2022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44907</v>
      </c>
      <c r="E112" s="1" t="n">
        <v>46317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46317</v>
      </c>
      <c r="F113" t="inlineStr">
        <is>
          <t>ÖSTERGÖTLANDS LÄN</t>
        </is>
      </c>
      <c r="G113" t="inlineStr">
        <is>
          <t>MJÖLBY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59410-2022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44907</v>
      </c>
      <c r="E114" s="1" t="n">
        <v>46317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45892</v>
      </c>
      <c r="E115" s="1" t="n">
        <v>46317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46317</v>
      </c>
      <c r="F116" t="inlineStr">
        <is>
          <t>ÖSTERGÖTLANDS LÄN</t>
        </is>
      </c>
      <c r="G116" t="inlineStr">
        <is>
          <t>MJÖLBY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46317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45812</v>
      </c>
      <c r="E118" s="1" t="n">
        <v>46317</v>
      </c>
      <c r="F118" t="inlineStr">
        <is>
          <t>ÖSTERGÖTLANDS LÄN</t>
        </is>
      </c>
      <c r="G118" t="inlineStr">
        <is>
          <t>MJÖLBY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46317</v>
      </c>
      <c r="F119" t="inlineStr">
        <is>
          <t>ÖSTERGÖTLANDS LÄN</t>
        </is>
      </c>
      <c r="G119" t="inlineStr">
        <is>
          <t>MJÖLBY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45269</v>
      </c>
      <c r="E120" s="1" t="n">
        <v>46317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46317</v>
      </c>
      <c r="F121" t="inlineStr">
        <is>
          <t>ÖSTERGÖTLANDS LÄN</t>
        </is>
      </c>
      <c r="G121" t="inlineStr">
        <is>
          <t>MJÖLBY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46317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46317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45009</v>
      </c>
      <c r="E124" s="1" t="n">
        <v>46317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46007</v>
      </c>
      <c r="E125" s="1" t="n">
        <v>46317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Kommuner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46317</v>
      </c>
      <c r="F126" t="inlineStr">
        <is>
          <t>ÖSTERGÖTLANDS LÄN</t>
        </is>
      </c>
      <c r="G126" t="inlineStr">
        <is>
          <t>MJÖLBY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46317</v>
      </c>
      <c r="F127" t="inlineStr">
        <is>
          <t>ÖSTERGÖTLANDS LÄN</t>
        </is>
      </c>
      <c r="G127" t="inlineStr">
        <is>
          <t>MJÖLBY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68095-2021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44526</v>
      </c>
      <c r="E128" s="1" t="n">
        <v>46317</v>
      </c>
      <c r="F128" t="inlineStr">
        <is>
          <t>ÖSTERGÖTLANDS LÄN</t>
        </is>
      </c>
      <c r="G128" t="inlineStr">
        <is>
          <t>MJÖLBY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45597</v>
      </c>
      <c r="E129" s="1" t="n">
        <v>46317</v>
      </c>
      <c r="F129" t="inlineStr">
        <is>
          <t>ÖSTERGÖTLANDS LÄN</t>
        </is>
      </c>
      <c r="G129" t="inlineStr">
        <is>
          <t>MJÖLBY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46317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46317</v>
      </c>
      <c r="F131" t="inlineStr">
        <is>
          <t>ÖSTERGÖTLANDS LÄN</t>
        </is>
      </c>
      <c r="G131" t="inlineStr">
        <is>
          <t>MJÖLBY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11270-2022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44629</v>
      </c>
      <c r="E132" s="1" t="n">
        <v>46317</v>
      </c>
      <c r="F132" t="inlineStr">
        <is>
          <t>ÖSTERGÖTLANDS LÄN</t>
        </is>
      </c>
      <c r="G132" t="inlineStr">
        <is>
          <t>MJÖLBY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46317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46317</v>
      </c>
      <c r="F134" t="inlineStr">
        <is>
          <t>ÖSTERGÖTLANDS LÄN</t>
        </is>
      </c>
      <c r="G134" t="inlineStr">
        <is>
          <t>MJÖLBY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46317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46317</v>
      </c>
      <c r="F136" t="inlineStr">
        <is>
          <t>ÖSTERGÖTLANDS LÄN</t>
        </is>
      </c>
      <c r="G136" t="inlineStr">
        <is>
          <t>MJÖLBY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46317</v>
      </c>
      <c r="F137" t="inlineStr">
        <is>
          <t>ÖSTERGÖTLANDS LÄN</t>
        </is>
      </c>
      <c r="G137" t="inlineStr">
        <is>
          <t>MJÖLBY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46317</v>
      </c>
      <c r="F138" t="inlineStr">
        <is>
          <t>ÖSTERGÖTLANDS LÄN</t>
        </is>
      </c>
      <c r="G138" t="inlineStr">
        <is>
          <t>MJÖLBY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46317</v>
      </c>
      <c r="F139" t="inlineStr">
        <is>
          <t>ÖSTERGÖTLANDS LÄN</t>
        </is>
      </c>
      <c r="G139" t="inlineStr">
        <is>
          <t>MJÖLBY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46317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46317</v>
      </c>
      <c r="F141" t="inlineStr">
        <is>
          <t>ÖSTERGÖTLANDS LÄN</t>
        </is>
      </c>
      <c r="G141" t="inlineStr">
        <is>
          <t>MJÖLBY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46317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46317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24903-2026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46174</v>
      </c>
      <c r="E144" s="1" t="n">
        <v>46317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46317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46317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46317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46317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46317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46177</v>
      </c>
      <c r="E150" s="1" t="n">
        <v>46317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45372</v>
      </c>
      <c r="E151" s="1" t="n">
        <v>46317</v>
      </c>
      <c r="F151" t="inlineStr">
        <is>
          <t>ÖSTERGÖTLANDS LÄN</t>
        </is>
      </c>
      <c r="G151" t="inlineStr">
        <is>
          <t>MJÖLBY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27126-2026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46188</v>
      </c>
      <c r="E152" s="1" t="n">
        <v>46317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46317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46317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52655-2023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45225</v>
      </c>
      <c r="E155" s="1" t="n">
        <v>46317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46317</v>
      </c>
      <c r="F156" t="inlineStr">
        <is>
          <t>ÖSTERGÖTLANDS LÄN</t>
        </is>
      </c>
      <c r="G156" t="inlineStr">
        <is>
          <t>MJÖLBY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46317</v>
      </c>
      <c r="F157" t="inlineStr">
        <is>
          <t>ÖSTERGÖTLANDS LÄN</t>
        </is>
      </c>
      <c r="G157" t="inlineStr">
        <is>
          <t>MJÖLBY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46317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45259</v>
      </c>
      <c r="E159" s="1" t="n">
        <v>46317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44663</v>
      </c>
      <c r="E160" s="1" t="n">
        <v>46317</v>
      </c>
      <c r="F160" t="inlineStr">
        <is>
          <t>ÖSTERGÖTLANDS LÄN</t>
        </is>
      </c>
      <c r="G160" t="inlineStr">
        <is>
          <t>MJÖLBY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46317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46317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46317</v>
      </c>
      <c r="F163" t="inlineStr">
        <is>
          <t>ÖSTERGÖTLANDS LÄN</t>
        </is>
      </c>
      <c r="G163" t="inlineStr">
        <is>
          <t>MJÖLBY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46317</v>
      </c>
      <c r="F164" t="inlineStr">
        <is>
          <t>ÖSTERGÖTLANDS LÄN</t>
        </is>
      </c>
      <c r="G164" t="inlineStr">
        <is>
          <t>MJÖLBY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46317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46317</v>
      </c>
      <c r="F166" t="inlineStr">
        <is>
          <t>ÖSTERGÖTLANDS LÄN</t>
        </is>
      </c>
      <c r="G166" t="inlineStr">
        <is>
          <t>MJÖLBY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46317</v>
      </c>
      <c r="F167" t="inlineStr">
        <is>
          <t>ÖSTERGÖTLANDS LÄN</t>
        </is>
      </c>
      <c r="G167" t="inlineStr">
        <is>
          <t>MJÖLBY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46317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28131-2026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46317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4314-2024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46317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Kyrkan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46317</v>
      </c>
      <c r="F171" t="inlineStr">
        <is>
          <t>ÖSTERGÖTLANDS LÄN</t>
        </is>
      </c>
      <c r="G171" t="inlineStr">
        <is>
          <t>MJÖLBY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46317</v>
      </c>
      <c r="F172" t="inlineStr">
        <is>
          <t>ÖSTERGÖTLANDS LÄN</t>
        </is>
      </c>
      <c r="G172" t="inlineStr">
        <is>
          <t>MJÖLBY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46232</v>
      </c>
      <c r="E173" s="1" t="n">
        <v>46317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46317</v>
      </c>
      <c r="F174" t="inlineStr">
        <is>
          <t>ÖSTERGÖTLANDS LÄN</t>
        </is>
      </c>
      <c r="G174" t="inlineStr">
        <is>
          <t>MJÖLBY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46317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46279</v>
      </c>
      <c r="E176" s="1" t="n">
        <v>46317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Kyrkan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46317</v>
      </c>
      <c r="F177" t="inlineStr">
        <is>
          <t>ÖSTERGÖTLANDS LÄN</t>
        </is>
      </c>
      <c r="G177" t="inlineStr">
        <is>
          <t>MJÖLBY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46317</v>
      </c>
      <c r="F178" t="inlineStr">
        <is>
          <t>ÖSTERGÖTLANDS LÄN</t>
        </is>
      </c>
      <c r="G178" t="inlineStr">
        <is>
          <t>MJÖLBY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46317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46317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46317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46317</v>
      </c>
      <c r="F182" t="inlineStr">
        <is>
          <t>ÖSTERGÖTLANDS LÄN</t>
        </is>
      </c>
      <c r="G182" t="inlineStr">
        <is>
          <t>MJÖLBY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46317</v>
      </c>
      <c r="F183" t="inlineStr">
        <is>
          <t>ÖSTERGÖTLANDS LÄN</t>
        </is>
      </c>
      <c r="G183" t="inlineStr">
        <is>
          <t>MJÖLBY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45370</v>
      </c>
      <c r="E184" s="1" t="n">
        <v>46317</v>
      </c>
      <c r="F184" t="inlineStr">
        <is>
          <t>ÖSTERGÖTLANDS LÄN</t>
        </is>
      </c>
      <c r="G184" t="inlineStr">
        <is>
          <t>MJÖLBY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45020</v>
      </c>
      <c r="E185" s="1" t="n">
        <v>46317</v>
      </c>
      <c r="F185" t="inlineStr">
        <is>
          <t>ÖSTERGÖTLANDS LÄN</t>
        </is>
      </c>
      <c r="G185" t="inlineStr">
        <is>
          <t>MJÖLBY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46317</v>
      </c>
      <c r="F186" t="inlineStr">
        <is>
          <t>ÖSTERGÖTLANDS LÄN</t>
        </is>
      </c>
      <c r="G186" t="inlineStr">
        <is>
          <t>MJÖLBY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45177</v>
      </c>
      <c r="E187" s="1" t="n">
        <v>46317</v>
      </c>
      <c r="F187" t="inlineStr">
        <is>
          <t>ÖSTERGÖTLANDS LÄN</t>
        </is>
      </c>
      <c r="G187" t="inlineStr">
        <is>
          <t>MJÖLBY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46317</v>
      </c>
      <c r="F188" t="inlineStr">
        <is>
          <t>ÖSTERGÖTLANDS LÄN</t>
        </is>
      </c>
      <c r="G188" t="inlineStr">
        <is>
          <t>MJÖLBY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46317</v>
      </c>
      <c r="F189" t="inlineStr">
        <is>
          <t>ÖSTERGÖTLANDS LÄN</t>
        </is>
      </c>
      <c r="G189" t="inlineStr">
        <is>
          <t>MJÖLBY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46317</v>
      </c>
      <c r="F190" t="inlineStr">
        <is>
          <t>ÖSTERGÖTLANDS LÄN</t>
        </is>
      </c>
      <c r="G190" t="inlineStr">
        <is>
          <t>MJÖLBY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46317</v>
      </c>
      <c r="F191" t="inlineStr">
        <is>
          <t>ÖSTERGÖTLANDS LÄN</t>
        </is>
      </c>
      <c r="G191" t="inlineStr">
        <is>
          <t>MJÖLBY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46317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46317</v>
      </c>
      <c r="F193" t="inlineStr">
        <is>
          <t>ÖSTERGÖTLANDS LÄN</t>
        </is>
      </c>
      <c r="G193" t="inlineStr">
        <is>
          <t>MJÖLBY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46317</v>
      </c>
      <c r="F194" t="inlineStr">
        <is>
          <t>ÖSTERGÖTLANDS LÄN</t>
        </is>
      </c>
      <c r="G194" t="inlineStr">
        <is>
          <t>MJÖLBY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46317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46317</v>
      </c>
      <c r="F196" t="inlineStr">
        <is>
          <t>ÖSTERGÖTLANDS LÄN</t>
        </is>
      </c>
      <c r="G196" t="inlineStr">
        <is>
          <t>MJÖLBY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46317</v>
      </c>
      <c r="F197" t="inlineStr">
        <is>
          <t>ÖSTERGÖTLANDS LÄN</t>
        </is>
      </c>
      <c r="G197" t="inlineStr">
        <is>
          <t>MJÖLBY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46317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45407</v>
      </c>
      <c r="E199" s="1" t="n">
        <v>46317</v>
      </c>
      <c r="F199" t="inlineStr">
        <is>
          <t>ÖSTERGÖTLANDS LÄN</t>
        </is>
      </c>
      <c r="G199" t="inlineStr">
        <is>
          <t>MJÖLBY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45446</v>
      </c>
      <c r="E200" s="1" t="n">
        <v>46317</v>
      </c>
      <c r="F200" t="inlineStr">
        <is>
          <t>ÖSTERGÖTLANDS LÄN</t>
        </is>
      </c>
      <c r="G200" t="inlineStr">
        <is>
          <t>MJÖLBY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46317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45293</v>
      </c>
      <c r="E202" s="1" t="n">
        <v>46317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46317</v>
      </c>
      <c r="F203" t="inlineStr">
        <is>
          <t>ÖSTERGÖTLANDS LÄN</t>
        </is>
      </c>
      <c r="G203" t="inlineStr">
        <is>
          <t>MJÖLBY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46317</v>
      </c>
      <c r="F204" t="inlineStr">
        <is>
          <t>ÖSTERGÖTLANDS LÄN</t>
        </is>
      </c>
      <c r="G204" t="inlineStr">
        <is>
          <t>MJÖLBY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46317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46317</v>
      </c>
      <c r="F206" t="inlineStr">
        <is>
          <t>ÖSTERGÖTLANDS LÄN</t>
        </is>
      </c>
      <c r="G206" t="inlineStr">
        <is>
          <t>MJÖLBY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46317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46253</v>
      </c>
      <c r="E208" s="1" t="n">
        <v>46317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46317</v>
      </c>
      <c r="F209" t="inlineStr">
        <is>
          <t>ÖSTERGÖTLANDS LÄN</t>
        </is>
      </c>
      <c r="G209" t="inlineStr">
        <is>
          <t>MJÖLBY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49971-2023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46317</v>
      </c>
      <c r="F210" t="inlineStr">
        <is>
          <t>ÖSTERGÖTLANDS LÄN</t>
        </is>
      </c>
      <c r="G210" t="inlineStr">
        <is>
          <t>MJÖLBY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46300</v>
      </c>
      <c r="E211" s="1" t="n">
        <v>46317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Sveaskog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46300</v>
      </c>
      <c r="E212" s="1" t="n">
        <v>46317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Sveaskog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38278-2024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45545</v>
      </c>
      <c r="E213" s="1" t="n">
        <v>46317</v>
      </c>
      <c r="F213" t="inlineStr">
        <is>
          <t>ÖSTERGÖTLANDS LÄN</t>
        </is>
      </c>
      <c r="G213" t="inlineStr">
        <is>
          <t>MJÖLBY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46317</v>
      </c>
      <c r="F214" t="inlineStr">
        <is>
          <t>ÖSTERGÖTLANDS LÄN</t>
        </is>
      </c>
      <c r="G214" t="inlineStr">
        <is>
          <t>MJÖLBY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46317</v>
      </c>
      <c r="F215" t="inlineStr">
        <is>
          <t>ÖSTERGÖTLANDS LÄN</t>
        </is>
      </c>
      <c r="G215" t="inlineStr">
        <is>
          <t>MJÖLBY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45736</v>
      </c>
      <c r="E216" s="1" t="n">
        <v>46317</v>
      </c>
      <c r="F216" t="inlineStr">
        <is>
          <t>ÖSTERGÖTLANDS LÄN</t>
        </is>
      </c>
      <c r="G216" t="inlineStr">
        <is>
          <t>MJÖLBY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46317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46317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34794-2026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46258</v>
      </c>
      <c r="E219" s="1" t="n">
        <v>46317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46317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46303</v>
      </c>
      <c r="E221" s="1" t="n">
        <v>46317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46317</v>
      </c>
      <c r="F222" t="inlineStr">
        <is>
          <t>ÖSTERGÖTLANDS LÄN</t>
        </is>
      </c>
      <c r="G222" t="inlineStr">
        <is>
          <t>MJÖLBY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46317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36209-2026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46267</v>
      </c>
      <c r="E224" s="1" t="n">
        <v>46317</v>
      </c>
      <c r="F224" t="inlineStr">
        <is>
          <t>ÖSTERGÖTLANDS LÄN</t>
        </is>
      </c>
      <c r="G224" t="inlineStr">
        <is>
          <t>MJÖLBY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46317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34834-2026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46317</v>
      </c>
      <c r="F226" t="inlineStr">
        <is>
          <t>ÖSTERGÖTLANDS LÄN</t>
        </is>
      </c>
      <c r="G226" t="inlineStr">
        <is>
          <t>MJÖLBY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46317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46317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Kyrkan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46316</v>
      </c>
      <c r="E229" s="1" t="n">
        <v>46317</v>
      </c>
      <c r="F229" t="inlineStr">
        <is>
          <t>ÖSTERGÖTLANDS LÄN</t>
        </is>
      </c>
      <c r="G229" t="inlineStr">
        <is>
          <t>MJÖLBY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46317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46317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2026-10-22T01:56:00Z</dcterms:created>
  <dcterms:modified xmlns:dcterms="http://purl.org/dc/terms/" xmlns:xsi="http://www.w3.org/2001/XMLSchema-instance" xsi:type="dcterms:W3CDTF">2026-10-22T01:56:00Z</dcterms:modified>
</cp:coreProperties>
</file>