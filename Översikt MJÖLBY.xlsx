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46229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46229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46229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46229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46229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46229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46229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46229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46229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46229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46229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46229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46229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46229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46229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46229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44468-2021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44435</v>
      </c>
      <c r="E21" s="1" t="n">
        <v>46229</v>
      </c>
      <c r="F21" t="inlineStr">
        <is>
          <t>ÖSTERGÖTLANDS LÄN</t>
        </is>
      </c>
      <c r="G21" t="inlineStr">
        <is>
          <t>MJÖLBY</t>
        </is>
      </c>
      <c r="H21" t="inlineStr">
        <is>
          <t>Kommuner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HYPERLINK("https://klasma.github.io/Logging_0586/artfynd/A 44468-2021 artfynd.xlsx", "A 44468-2021")</f>
        <v/>
      </c>
      <c r="X21">
        <f>HYPERLINK("https://klasma.github.io/Logging_0586/kartor/A 44468-2021 karta.png", "A 44468-2021")</f>
        <v/>
      </c>
      <c r="Y21">
        <f>HYPERLINK("https://klasma.github.io/Logging_0586/kartor_geotiff/A 44468-2021 georefererad karta.tif", "A 44468-2021")</f>
        <v/>
      </c>
      <c r="AA21">
        <f>HYPERLINK("https://klasma.github.io/Logging_0586/klagomål/A 44468-2021 FSC-klagomål.docx", "A 44468-2021")</f>
        <v/>
      </c>
      <c r="AB21">
        <f>HYPERLINK("https://klasma.github.io/Logging_0586/klagomålsmail/A 44468-2021 FSC-klagomål mail.docx", "A 44468-2021")</f>
        <v/>
      </c>
      <c r="AC21">
        <f>HYPERLINK("https://klasma.github.io/Logging_0586/tillsyn/A 44468-2021 tillsynsbegäran.docx", "A 44468-2021")</f>
        <v/>
      </c>
      <c r="AD21">
        <f>HYPERLINK("https://klasma.github.io/Logging_0586/tillsynsmail/A 44468-2021 tillsynsbegäran mail.docx", "A 44468-2021")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46229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46229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46229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46229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Ängshök</t>
        </is>
      </c>
      <c r="W25">
        <f>HYPERLINK("https://klasma.github.io/Logging_0586/artfynd/A 54444-2021 artfynd.xlsx", "A 54444-2021")</f>
        <v/>
      </c>
      <c r="X25">
        <f>HYPERLINK("https://klasma.github.io/Logging_0586/kartor/A 54444-2021 karta.png", "A 54444-2021")</f>
        <v/>
      </c>
      <c r="Y25">
        <f>HYPERLINK("https://klasma.github.io/Logging_0586/kartor_geotiff/A 54444-2021 georefererad karta.tif", "A 54444-2021")</f>
        <v/>
      </c>
      <c r="AA25">
        <f>HYPERLINK("https://klasma.github.io/Logging_0586/klagomål/A 54444-2021 FSC-klagomål.docx", "A 54444-2021")</f>
        <v/>
      </c>
      <c r="AB25">
        <f>HYPERLINK("https://klasma.github.io/Logging_0586/klagomålsmail/A 54444-2021 FSC-klagomål mail.docx", "A 54444-2021")</f>
        <v/>
      </c>
      <c r="AC25">
        <f>HYPERLINK("https://klasma.github.io/Logging_0586/tillsyn/A 54444-2021 tillsynsbegäran.docx", "A 54444-2021")</f>
        <v/>
      </c>
      <c r="AD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46229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46229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46229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46229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46229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46229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46229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46229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46229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46229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45009</v>
      </c>
      <c r="E36" s="1" t="n">
        <v>46229</v>
      </c>
      <c r="F36" t="inlineStr">
        <is>
          <t>ÖSTERGÖTLANDS LÄN</t>
        </is>
      </c>
      <c r="G36" t="inlineStr">
        <is>
          <t>MJÖLBY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46229</v>
      </c>
      <c r="F37" t="inlineStr">
        <is>
          <t>ÖSTERGÖTLANDS LÄN</t>
        </is>
      </c>
      <c r="G37" t="inlineStr">
        <is>
          <t>MJÖLBY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46229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60917-2022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46229</v>
      </c>
      <c r="F39" t="inlineStr">
        <is>
          <t>ÖSTERGÖTLANDS LÄN</t>
        </is>
      </c>
      <c r="G39" t="inlineStr">
        <is>
          <t>MJÖLBY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44951</v>
      </c>
      <c r="E40" s="1" t="n">
        <v>46229</v>
      </c>
      <c r="F40" t="inlineStr">
        <is>
          <t>ÖSTERGÖTLANDS LÄN</t>
        </is>
      </c>
      <c r="G40" t="inlineStr">
        <is>
          <t>MJÖLBY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46229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43012-2024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45567</v>
      </c>
      <c r="E42" s="1" t="n">
        <v>46229</v>
      </c>
      <c r="F42" t="inlineStr">
        <is>
          <t>ÖSTERGÖTLANDS LÄN</t>
        </is>
      </c>
      <c r="G42" t="inlineStr">
        <is>
          <t>MJÖLBY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46229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45407</v>
      </c>
      <c r="E44" s="1" t="n">
        <v>46229</v>
      </c>
      <c r="F44" t="inlineStr">
        <is>
          <t>ÖSTERGÖTLANDS LÄN</t>
        </is>
      </c>
      <c r="G44" t="inlineStr">
        <is>
          <t>MJÖLBY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46229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64930-2023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46229</v>
      </c>
      <c r="F46" t="inlineStr">
        <is>
          <t>ÖSTERGÖTLANDS LÄN</t>
        </is>
      </c>
      <c r="G46" t="inlineStr">
        <is>
          <t>MJÖLBY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46229</v>
      </c>
      <c r="F47" t="inlineStr">
        <is>
          <t>ÖSTERGÖTLANDS LÄN</t>
        </is>
      </c>
      <c r="G47" t="inlineStr">
        <is>
          <t>MJÖLBY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44980</v>
      </c>
      <c r="E48" s="1" t="n">
        <v>46229</v>
      </c>
      <c r="F48" t="inlineStr">
        <is>
          <t>ÖSTERGÖTLANDS LÄN</t>
        </is>
      </c>
      <c r="G48" t="inlineStr">
        <is>
          <t>MJÖLBY</t>
        </is>
      </c>
      <c r="H48" t="inlineStr">
        <is>
          <t>Kyrkan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45170</v>
      </c>
      <c r="E49" s="1" t="n">
        <v>46229</v>
      </c>
      <c r="F49" t="inlineStr">
        <is>
          <t>ÖSTERGÖTLANDS LÄN</t>
        </is>
      </c>
      <c r="G49" t="inlineStr">
        <is>
          <t>MJÖLBY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46229</v>
      </c>
      <c r="F50" t="inlineStr">
        <is>
          <t>ÖSTERGÖTLANDS LÄN</t>
        </is>
      </c>
      <c r="G50" t="inlineStr">
        <is>
          <t>MJÖLBY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44663</v>
      </c>
      <c r="E51" s="1" t="n">
        <v>46229</v>
      </c>
      <c r="F51" t="inlineStr">
        <is>
          <t>ÖSTERGÖTLANDS LÄN</t>
        </is>
      </c>
      <c r="G51" t="inlineStr">
        <is>
          <t>MJÖLBY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45208</v>
      </c>
      <c r="E52" s="1" t="n">
        <v>46229</v>
      </c>
      <c r="F52" t="inlineStr">
        <is>
          <t>ÖSTERGÖTLANDS LÄN</t>
        </is>
      </c>
      <c r="G52" t="inlineStr">
        <is>
          <t>MJÖLBY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51475-2023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45221</v>
      </c>
      <c r="E53" s="1" t="n">
        <v>46229</v>
      </c>
      <c r="F53" t="inlineStr">
        <is>
          <t>ÖSTERGÖTLANDS LÄN</t>
        </is>
      </c>
      <c r="G53" t="inlineStr">
        <is>
          <t>MJÖLBY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44971</v>
      </c>
      <c r="E54" s="1" t="n">
        <v>46229</v>
      </c>
      <c r="F54" t="inlineStr">
        <is>
          <t>ÖSTERGÖTLANDS LÄN</t>
        </is>
      </c>
      <c r="G54" t="inlineStr">
        <is>
          <t>MJÖLBY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45250</v>
      </c>
      <c r="E55" s="1" t="n">
        <v>46229</v>
      </c>
      <c r="F55" t="inlineStr">
        <is>
          <t>ÖSTERGÖTLANDS LÄN</t>
        </is>
      </c>
      <c r="G55" t="inlineStr">
        <is>
          <t>MJÖLBY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63449-2023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45273</v>
      </c>
      <c r="E56" s="1" t="n">
        <v>46229</v>
      </c>
      <c r="F56" t="inlineStr">
        <is>
          <t>ÖSTERGÖTLANDS LÄN</t>
        </is>
      </c>
      <c r="G56" t="inlineStr">
        <is>
          <t>MJÖLBY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45681</v>
      </c>
      <c r="E57" s="1" t="n">
        <v>46229</v>
      </c>
      <c r="F57" t="inlineStr">
        <is>
          <t>ÖSTERGÖTLANDS LÄN</t>
        </is>
      </c>
      <c r="G57" t="inlineStr">
        <is>
          <t>MJÖLBY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45674</v>
      </c>
      <c r="E58" s="1" t="n">
        <v>46229</v>
      </c>
      <c r="F58" t="inlineStr">
        <is>
          <t>ÖSTERGÖTLANDS LÄN</t>
        </is>
      </c>
      <c r="G58" t="inlineStr">
        <is>
          <t>MJÖLBY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65921-2021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46229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46229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45882</v>
      </c>
      <c r="E61" s="1" t="n">
        <v>46229</v>
      </c>
      <c r="F61" t="inlineStr">
        <is>
          <t>ÖSTERGÖTLANDS LÄN</t>
        </is>
      </c>
      <c r="G61" t="inlineStr">
        <is>
          <t>MJÖLBY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44473</v>
      </c>
      <c r="E62" s="1" t="n">
        <v>46229</v>
      </c>
      <c r="F62" t="inlineStr">
        <is>
          <t>ÖSTERGÖTLANDS LÄN</t>
        </is>
      </c>
      <c r="G62" t="inlineStr">
        <is>
          <t>MJÖLBY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45208</v>
      </c>
      <c r="E63" s="1" t="n">
        <v>46229</v>
      </c>
      <c r="F63" t="inlineStr">
        <is>
          <t>ÖSTERGÖTLANDS LÄN</t>
        </is>
      </c>
      <c r="G63" t="inlineStr">
        <is>
          <t>MJÖLBY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27251-2025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45812</v>
      </c>
      <c r="E64" s="1" t="n">
        <v>46229</v>
      </c>
      <c r="F64" t="inlineStr">
        <is>
          <t>ÖSTERGÖTLANDS LÄN</t>
        </is>
      </c>
      <c r="G64" t="inlineStr">
        <is>
          <t>MJÖLBY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44936</v>
      </c>
      <c r="E65" s="1" t="n">
        <v>46229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46229</v>
      </c>
      <c r="F66" t="inlineStr">
        <is>
          <t>ÖSTERGÖTLANDS LÄN</t>
        </is>
      </c>
      <c r="G66" t="inlineStr">
        <is>
          <t>MJÖLBY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41105-2025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46229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46229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45892</v>
      </c>
      <c r="E69" s="1" t="n">
        <v>46229</v>
      </c>
      <c r="F69" t="inlineStr">
        <is>
          <t>ÖSTERGÖTLANDS LÄN</t>
        </is>
      </c>
      <c r="G69" t="inlineStr">
        <is>
          <t>MJÖLBY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46229</v>
      </c>
      <c r="F70" t="inlineStr">
        <is>
          <t>ÖSTERGÖTLANDS LÄN</t>
        </is>
      </c>
      <c r="G70" t="inlineStr">
        <is>
          <t>MJÖLBY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45818</v>
      </c>
      <c r="E71" s="1" t="n">
        <v>46229</v>
      </c>
      <c r="F71" t="inlineStr">
        <is>
          <t>ÖSTERGÖTLANDS LÄN</t>
        </is>
      </c>
      <c r="G71" t="inlineStr">
        <is>
          <t>MJÖLBY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46229</v>
      </c>
      <c r="F72" t="inlineStr">
        <is>
          <t>ÖSTERGÖTLANDS LÄN</t>
        </is>
      </c>
      <c r="G72" t="inlineStr">
        <is>
          <t>MJÖLBY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46229</v>
      </c>
      <c r="F73" t="inlineStr">
        <is>
          <t>ÖSTERGÖTLANDS LÄN</t>
        </is>
      </c>
      <c r="G73" t="inlineStr">
        <is>
          <t>MJÖLBY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46229</v>
      </c>
      <c r="F74" t="inlineStr">
        <is>
          <t>ÖSTERGÖTLANDS LÄN</t>
        </is>
      </c>
      <c r="G74" t="inlineStr">
        <is>
          <t>MJÖLBY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45812</v>
      </c>
      <c r="E75" s="1" t="n">
        <v>46229</v>
      </c>
      <c r="F75" t="inlineStr">
        <is>
          <t>ÖSTERGÖTLANDS LÄN</t>
        </is>
      </c>
      <c r="G75" t="inlineStr">
        <is>
          <t>MJÖLBY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46229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46229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46229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46229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46229</v>
      </c>
      <c r="F80" t="inlineStr">
        <is>
          <t>ÖSTERGÖTLANDS LÄN</t>
        </is>
      </c>
      <c r="G80" t="inlineStr">
        <is>
          <t>MJÖLBY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46229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46139</v>
      </c>
      <c r="E82" s="1" t="n">
        <v>46229</v>
      </c>
      <c r="F82" t="inlineStr">
        <is>
          <t>ÖSTERGÖTLANDS LÄN</t>
        </is>
      </c>
      <c r="G82" t="inlineStr">
        <is>
          <t>MJÖLBY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46229</v>
      </c>
      <c r="F83" t="inlineStr">
        <is>
          <t>ÖSTERGÖTLANDS LÄN</t>
        </is>
      </c>
      <c r="G83" t="inlineStr">
        <is>
          <t>MJÖLBY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46229</v>
      </c>
      <c r="F84" t="inlineStr">
        <is>
          <t>ÖSTERGÖTLANDS LÄN</t>
        </is>
      </c>
      <c r="G84" t="inlineStr">
        <is>
          <t>MJÖLBY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11944-2024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45376</v>
      </c>
      <c r="E85" s="1" t="n">
        <v>46229</v>
      </c>
      <c r="F85" t="inlineStr">
        <is>
          <t>ÖSTERGÖTLANDS LÄN</t>
        </is>
      </c>
      <c r="G85" t="inlineStr">
        <is>
          <t>MJÖLBY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46229</v>
      </c>
      <c r="F86" t="inlineStr">
        <is>
          <t>ÖSTERGÖTLANDS LÄN</t>
        </is>
      </c>
      <c r="G86" t="inlineStr">
        <is>
          <t>MJÖLBY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46229</v>
      </c>
      <c r="F87" t="inlineStr">
        <is>
          <t>ÖSTERGÖTLANDS LÄN</t>
        </is>
      </c>
      <c r="G87" t="inlineStr">
        <is>
          <t>MJÖLBY</t>
        </is>
      </c>
      <c r="H87" t="inlineStr">
        <is>
          <t>Kommuner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44904</v>
      </c>
      <c r="E88" s="1" t="n">
        <v>46229</v>
      </c>
      <c r="F88" t="inlineStr">
        <is>
          <t>ÖSTERGÖTLANDS LÄN</t>
        </is>
      </c>
      <c r="G88" t="inlineStr">
        <is>
          <t>MJÖLBY</t>
        </is>
      </c>
      <c r="H88" t="inlineStr">
        <is>
          <t>Övriga Aktiebolag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46229</v>
      </c>
      <c r="F89" t="inlineStr">
        <is>
          <t>ÖSTERGÖTLANDS LÄN</t>
        </is>
      </c>
      <c r="G89" t="inlineStr">
        <is>
          <t>MJÖLBY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45301</v>
      </c>
      <c r="E90" s="1" t="n">
        <v>46229</v>
      </c>
      <c r="F90" t="inlineStr">
        <is>
          <t>ÖSTERGÖTLANDS LÄN</t>
        </is>
      </c>
      <c r="G90" t="inlineStr">
        <is>
          <t>MJÖLBY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46229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45666</v>
      </c>
      <c r="E92" s="1" t="n">
        <v>46229</v>
      </c>
      <c r="F92" t="inlineStr">
        <is>
          <t>ÖSTERGÖTLANDS LÄN</t>
        </is>
      </c>
      <c r="G92" t="inlineStr">
        <is>
          <t>MJÖLBY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46229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45526</v>
      </c>
      <c r="E94" s="1" t="n">
        <v>46229</v>
      </c>
      <c r="F94" t="inlineStr">
        <is>
          <t>ÖSTERGÖTLANDS LÄN</t>
        </is>
      </c>
      <c r="G94" t="inlineStr">
        <is>
          <t>MJÖLBY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45269</v>
      </c>
      <c r="E95" s="1" t="n">
        <v>46229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27126-2026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46188</v>
      </c>
      <c r="E96" s="1" t="n">
        <v>46229</v>
      </c>
      <c r="F96" t="inlineStr">
        <is>
          <t>ÖSTERGÖTLANDS LÄN</t>
        </is>
      </c>
      <c r="G96" t="inlineStr">
        <is>
          <t>MJÖLBY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46229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46229</v>
      </c>
      <c r="F98" t="inlineStr">
        <is>
          <t>ÖSTERGÖTLANDS LÄN</t>
        </is>
      </c>
      <c r="G98" t="inlineStr">
        <is>
          <t>MJÖLBY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46229</v>
      </c>
      <c r="F99" t="inlineStr">
        <is>
          <t>ÖSTERGÖTLANDS LÄN</t>
        </is>
      </c>
      <c r="G99" t="inlineStr">
        <is>
          <t>MJÖLBY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44769-2025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45917</v>
      </c>
      <c r="E100" s="1" t="n">
        <v>46229</v>
      </c>
      <c r="F100" t="inlineStr">
        <is>
          <t>ÖSTERGÖTLANDS LÄN</t>
        </is>
      </c>
      <c r="G100" t="inlineStr">
        <is>
          <t>MJÖLBY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44770-2025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45917</v>
      </c>
      <c r="E101" s="1" t="n">
        <v>46229</v>
      </c>
      <c r="F101" t="inlineStr">
        <is>
          <t>ÖSTERGÖTLANDS LÄN</t>
        </is>
      </c>
      <c r="G101" t="inlineStr">
        <is>
          <t>MJÖLBY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46229</v>
      </c>
      <c r="F102" t="inlineStr">
        <is>
          <t>ÖSTERGÖTLANDS LÄN</t>
        </is>
      </c>
      <c r="G102" t="inlineStr">
        <is>
          <t>MJÖLBY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46148</v>
      </c>
      <c r="E103" s="1" t="n">
        <v>46229</v>
      </c>
      <c r="F103" t="inlineStr">
        <is>
          <t>ÖSTERGÖTLANDS LÄN</t>
        </is>
      </c>
      <c r="G103" t="inlineStr">
        <is>
          <t>MJÖLBY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46229</v>
      </c>
      <c r="F104" t="inlineStr">
        <is>
          <t>ÖSTERGÖTLANDS LÄN</t>
        </is>
      </c>
      <c r="G104" t="inlineStr">
        <is>
          <t>MJÖLBY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46229</v>
      </c>
      <c r="F105" t="inlineStr">
        <is>
          <t>ÖSTERGÖTLANDS LÄN</t>
        </is>
      </c>
      <c r="G105" t="inlineStr">
        <is>
          <t>MJÖLBY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45979</v>
      </c>
      <c r="E106" s="1" t="n">
        <v>46229</v>
      </c>
      <c r="F106" t="inlineStr">
        <is>
          <t>ÖSTERGÖTLANDS LÄN</t>
        </is>
      </c>
      <c r="G106" t="inlineStr">
        <is>
          <t>MJÖLBY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4314-2024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45324</v>
      </c>
      <c r="E107" s="1" t="n">
        <v>46229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12769-2024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45384</v>
      </c>
      <c r="E108" s="1" t="n">
        <v>46229</v>
      </c>
      <c r="F108" t="inlineStr">
        <is>
          <t>ÖSTERGÖTLANDS LÄN</t>
        </is>
      </c>
      <c r="G108" t="inlineStr">
        <is>
          <t>MJÖLBY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45982</v>
      </c>
      <c r="E109" s="1" t="n">
        <v>46229</v>
      </c>
      <c r="F109" t="inlineStr">
        <is>
          <t>ÖSTERGÖTLANDS LÄN</t>
        </is>
      </c>
      <c r="G109" t="inlineStr">
        <is>
          <t>MJÖLBY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45838</v>
      </c>
      <c r="E110" s="1" t="n">
        <v>46229</v>
      </c>
      <c r="F110" t="inlineStr">
        <is>
          <t>ÖSTERGÖTLANDS LÄN</t>
        </is>
      </c>
      <c r="G110" t="inlineStr">
        <is>
          <t>MJÖLBY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46229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46229</v>
      </c>
      <c r="F112" t="inlineStr">
        <is>
          <t>ÖSTERGÖTLANDS LÄN</t>
        </is>
      </c>
      <c r="G112" t="inlineStr">
        <is>
          <t>MJÖLBY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46229</v>
      </c>
      <c r="F113" t="inlineStr">
        <is>
          <t>ÖSTERGÖTLANDS LÄN</t>
        </is>
      </c>
      <c r="G113" t="inlineStr">
        <is>
          <t>MJÖLBY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46229</v>
      </c>
      <c r="F114" t="inlineStr">
        <is>
          <t>ÖSTERGÖTLANDS LÄN</t>
        </is>
      </c>
      <c r="G114" t="inlineStr">
        <is>
          <t>MJÖLBY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46229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46229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46229</v>
      </c>
      <c r="F117" t="inlineStr">
        <is>
          <t>ÖSTERGÖTLANDS LÄN</t>
        </is>
      </c>
      <c r="G117" t="inlineStr">
        <is>
          <t>MJÖLBY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45176</v>
      </c>
      <c r="E118" s="1" t="n">
        <v>46229</v>
      </c>
      <c r="F118" t="inlineStr">
        <is>
          <t>ÖSTERGÖTLANDS LÄN</t>
        </is>
      </c>
      <c r="G118" t="inlineStr">
        <is>
          <t>MJÖLBY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46229</v>
      </c>
      <c r="F119" t="inlineStr">
        <is>
          <t>ÖSTERGÖTLANDS LÄN</t>
        </is>
      </c>
      <c r="G119" t="inlineStr">
        <is>
          <t>MJÖLBY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58415-2021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46229</v>
      </c>
      <c r="F120" t="inlineStr">
        <is>
          <t>ÖSTERGÖTLANDS LÄN</t>
        </is>
      </c>
      <c r="G120" t="inlineStr">
        <is>
          <t>MJÖLBY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45446</v>
      </c>
      <c r="E121" s="1" t="n">
        <v>46229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46229</v>
      </c>
      <c r="F122" t="inlineStr">
        <is>
          <t>ÖSTERGÖTLANDS LÄN</t>
        </is>
      </c>
      <c r="G122" t="inlineStr">
        <is>
          <t>MJÖLBY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44792</v>
      </c>
      <c r="E123" s="1" t="n">
        <v>46229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Kommuner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46229</v>
      </c>
      <c r="F124" t="inlineStr">
        <is>
          <t>ÖSTERGÖTLANDS LÄN</t>
        </is>
      </c>
      <c r="G124" t="inlineStr">
        <is>
          <t>MJÖLBY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46229</v>
      </c>
      <c r="F125" t="inlineStr">
        <is>
          <t>ÖSTERGÖTLANDS LÄN</t>
        </is>
      </c>
      <c r="G125" t="inlineStr">
        <is>
          <t>MJÖLBY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46007</v>
      </c>
      <c r="E126" s="1" t="n">
        <v>46229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Kyrkan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46229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46229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46198</v>
      </c>
      <c r="E129" s="1" t="n">
        <v>46229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46229</v>
      </c>
      <c r="F130" t="inlineStr">
        <is>
          <t>ÖSTERGÖTLANDS LÄN</t>
        </is>
      </c>
      <c r="G130" t="inlineStr">
        <is>
          <t>MJÖLBY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46229</v>
      </c>
      <c r="F131" t="inlineStr">
        <is>
          <t>ÖSTERGÖTLANDS LÄN</t>
        </is>
      </c>
      <c r="G131" t="inlineStr">
        <is>
          <t>MJÖLBY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45177</v>
      </c>
      <c r="E132" s="1" t="n">
        <v>46229</v>
      </c>
      <c r="F132" t="inlineStr">
        <is>
          <t>ÖSTERGÖTLANDS LÄN</t>
        </is>
      </c>
      <c r="G132" t="inlineStr">
        <is>
          <t>MJÖLBY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46229</v>
      </c>
      <c r="F133" t="inlineStr">
        <is>
          <t>ÖSTERGÖTLANDS LÄN</t>
        </is>
      </c>
      <c r="G133" t="inlineStr">
        <is>
          <t>MJÖLBY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46229</v>
      </c>
      <c r="F134" t="inlineStr">
        <is>
          <t>ÖSTERGÖTLANDS LÄN</t>
        </is>
      </c>
      <c r="G134" t="inlineStr">
        <is>
          <t>MJÖLBY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64934-2023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46229</v>
      </c>
      <c r="F135" t="inlineStr">
        <is>
          <t>ÖSTERGÖTLANDS LÄN</t>
        </is>
      </c>
      <c r="G135" t="inlineStr">
        <is>
          <t>MJÖLBY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46229</v>
      </c>
      <c r="F136" t="inlineStr">
        <is>
          <t>ÖSTERGÖTLANDS LÄN</t>
        </is>
      </c>
      <c r="G136" t="inlineStr">
        <is>
          <t>MJÖLBY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46229</v>
      </c>
      <c r="F137" t="inlineStr">
        <is>
          <t>ÖSTERGÖTLANDS LÄN</t>
        </is>
      </c>
      <c r="G137" t="inlineStr">
        <is>
          <t>MJÖLBY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45666</v>
      </c>
      <c r="E138" s="1" t="n">
        <v>46229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59410-2022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44907</v>
      </c>
      <c r="E139" s="1" t="n">
        <v>46229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59411-2022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44907</v>
      </c>
      <c r="E140" s="1" t="n">
        <v>46229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46229</v>
      </c>
      <c r="F141" t="inlineStr">
        <is>
          <t>ÖSTERGÖTLANDS LÄN</t>
        </is>
      </c>
      <c r="G141" t="inlineStr">
        <is>
          <t>MJÖLBY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45677</v>
      </c>
      <c r="E142" s="1" t="n">
        <v>46229</v>
      </c>
      <c r="F142" t="inlineStr">
        <is>
          <t>ÖSTERGÖTLANDS LÄN</t>
        </is>
      </c>
      <c r="G142" t="inlineStr">
        <is>
          <t>MJÖLBY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46229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45525</v>
      </c>
      <c r="E144" s="1" t="n">
        <v>46229</v>
      </c>
      <c r="F144" t="inlineStr">
        <is>
          <t>ÖSTERGÖTLANDS LÄN</t>
        </is>
      </c>
      <c r="G144" t="inlineStr">
        <is>
          <t>MJÖLBY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46229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46229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46229</v>
      </c>
      <c r="F147" t="inlineStr">
        <is>
          <t>ÖSTERGÖTLANDS LÄN</t>
        </is>
      </c>
      <c r="G147" t="inlineStr">
        <is>
          <t>MJÖLBY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46229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46171</v>
      </c>
      <c r="E149" s="1" t="n">
        <v>46229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46217</v>
      </c>
      <c r="E150" s="1" t="n">
        <v>46229</v>
      </c>
      <c r="F150" t="inlineStr">
        <is>
          <t>ÖSTERGÖTLANDS LÄN</t>
        </is>
      </c>
      <c r="G150" t="inlineStr">
        <is>
          <t>MJÖLBY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46217</v>
      </c>
      <c r="E151" s="1" t="n">
        <v>46229</v>
      </c>
      <c r="F151" t="inlineStr">
        <is>
          <t>ÖSTERGÖTLANDS LÄN</t>
        </is>
      </c>
      <c r="G151" t="inlineStr">
        <is>
          <t>MJÖLBY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46229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46229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46229</v>
      </c>
      <c r="F154" t="inlineStr">
        <is>
          <t>ÖSTERGÖTLANDS LÄN</t>
        </is>
      </c>
      <c r="G154" t="inlineStr">
        <is>
          <t>MJÖLBY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46216</v>
      </c>
      <c r="E155" s="1" t="n">
        <v>46229</v>
      </c>
      <c r="F155" t="inlineStr">
        <is>
          <t>ÖSTERGÖTLANDS LÄN</t>
        </is>
      </c>
      <c r="G155" t="inlineStr">
        <is>
          <t>MJÖLBY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46229</v>
      </c>
      <c r="F156" t="inlineStr">
        <is>
          <t>ÖSTERGÖTLANDS LÄN</t>
        </is>
      </c>
      <c r="G156" t="inlineStr">
        <is>
          <t>MJÖLBY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46229</v>
      </c>
      <c r="F157" t="inlineStr">
        <is>
          <t>ÖSTERGÖTLANDS LÄN</t>
        </is>
      </c>
      <c r="G157" t="inlineStr">
        <is>
          <t>MJÖLBY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46229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46229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24903-2026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46174</v>
      </c>
      <c r="E160" s="1" t="n">
        <v>46229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46229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46229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46229</v>
      </c>
      <c r="F163" t="inlineStr">
        <is>
          <t>ÖSTERGÖTLANDS LÄN</t>
        </is>
      </c>
      <c r="G163" t="inlineStr">
        <is>
          <t>MJÖLBY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46229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52655-2023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45225</v>
      </c>
      <c r="E165" s="1" t="n">
        <v>46229</v>
      </c>
      <c r="F165" t="inlineStr">
        <is>
          <t>ÖSTERGÖTLANDS LÄN</t>
        </is>
      </c>
      <c r="G165" t="inlineStr">
        <is>
          <t>MJÖLBY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45085</v>
      </c>
      <c r="E166" s="1" t="n">
        <v>46229</v>
      </c>
      <c r="F166" t="inlineStr">
        <is>
          <t>ÖSTERGÖTLANDS LÄN</t>
        </is>
      </c>
      <c r="G166" t="inlineStr">
        <is>
          <t>MJÖLBY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46229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Kyrkan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46229</v>
      </c>
      <c r="F168" t="inlineStr">
        <is>
          <t>ÖSTERGÖTLANDS LÄN</t>
        </is>
      </c>
      <c r="G168" t="inlineStr">
        <is>
          <t>MJÖLBY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44629</v>
      </c>
      <c r="E169" s="1" t="n">
        <v>46229</v>
      </c>
      <c r="F169" t="inlineStr">
        <is>
          <t>ÖSTERGÖTLANDS LÄN</t>
        </is>
      </c>
      <c r="G169" t="inlineStr">
        <is>
          <t>MJÖLBY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46229</v>
      </c>
      <c r="F170" t="inlineStr">
        <is>
          <t>ÖSTERGÖTLANDS LÄN</t>
        </is>
      </c>
      <c r="G170" t="inlineStr">
        <is>
          <t>MJÖLBY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46229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46229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46229</v>
      </c>
      <c r="F173" t="inlineStr">
        <is>
          <t>ÖSTERGÖTLANDS LÄN</t>
        </is>
      </c>
      <c r="G173" t="inlineStr">
        <is>
          <t>MJÖLBY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58800-2022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44903</v>
      </c>
      <c r="E174" s="1" t="n">
        <v>46229</v>
      </c>
      <c r="F174" t="inlineStr">
        <is>
          <t>ÖSTERGÖTLANDS LÄN</t>
        </is>
      </c>
      <c r="G174" t="inlineStr">
        <is>
          <t>MJÖLBY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44957</v>
      </c>
      <c r="E175" s="1" t="n">
        <v>46229</v>
      </c>
      <c r="F175" t="inlineStr">
        <is>
          <t>ÖSTERGÖTLANDS LÄN</t>
        </is>
      </c>
      <c r="G175" t="inlineStr">
        <is>
          <t>MJÖLBY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46229</v>
      </c>
      <c r="F176" t="inlineStr">
        <is>
          <t>ÖSTERGÖTLANDS LÄN</t>
        </is>
      </c>
      <c r="G176" t="inlineStr">
        <is>
          <t>MJÖLBY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51630-2021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44462</v>
      </c>
      <c r="E177" s="1" t="n">
        <v>46229</v>
      </c>
      <c r="F177" t="inlineStr">
        <is>
          <t>ÖSTERGÖTLANDS LÄN</t>
        </is>
      </c>
      <c r="G177" t="inlineStr">
        <is>
          <t>MJÖLBY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46229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46229</v>
      </c>
      <c r="F179" t="inlineStr">
        <is>
          <t>ÖSTERGÖTLANDS LÄN</t>
        </is>
      </c>
      <c r="G179" t="inlineStr">
        <is>
          <t>MJÖLBY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46229</v>
      </c>
      <c r="F180" t="inlineStr">
        <is>
          <t>ÖSTERGÖTLANDS LÄN</t>
        </is>
      </c>
      <c r="G180" t="inlineStr">
        <is>
          <t>MJÖLBY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45342</v>
      </c>
      <c r="E181" s="1" t="n">
        <v>46229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46229</v>
      </c>
      <c r="F182" t="inlineStr">
        <is>
          <t>ÖSTERGÖTLANDS LÄN</t>
        </is>
      </c>
      <c r="G182" t="inlineStr">
        <is>
          <t>MJÖLBY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46229</v>
      </c>
      <c r="F183" t="inlineStr">
        <is>
          <t>ÖSTERGÖTLANDS LÄN</t>
        </is>
      </c>
      <c r="G183" t="inlineStr">
        <is>
          <t>MJÖLBY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46229</v>
      </c>
      <c r="F184" t="inlineStr">
        <is>
          <t>ÖSTERGÖTLANDS LÄN</t>
        </is>
      </c>
      <c r="G184" t="inlineStr">
        <is>
          <t>MJÖLBY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45259</v>
      </c>
      <c r="E185" s="1" t="n">
        <v>46229</v>
      </c>
      <c r="F185" t="inlineStr">
        <is>
          <t>ÖSTERGÖTLANDS LÄN</t>
        </is>
      </c>
      <c r="G185" t="inlineStr">
        <is>
          <t>MJÖLBY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46229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44546</v>
      </c>
      <c r="E187" s="1" t="n">
        <v>46229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46229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46229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46229</v>
      </c>
      <c r="F190" t="inlineStr">
        <is>
          <t>ÖSTERGÖTLANDS LÄN</t>
        </is>
      </c>
      <c r="G190" t="inlineStr">
        <is>
          <t>MJÖLBY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49566-2021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44455</v>
      </c>
      <c r="E191" s="1" t="n">
        <v>46229</v>
      </c>
      <c r="F191" t="inlineStr">
        <is>
          <t>ÖSTERGÖTLANDS LÄN</t>
        </is>
      </c>
      <c r="G191" t="inlineStr">
        <is>
          <t>MJÖLBY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44659</v>
      </c>
      <c r="E192" s="1" t="n">
        <v>46229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Kyrkan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17707-2023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45037</v>
      </c>
      <c r="E193" s="1" t="n">
        <v>46229</v>
      </c>
      <c r="F193" t="inlineStr">
        <is>
          <t>ÖSTERGÖTLANDS LÄN</t>
        </is>
      </c>
      <c r="G193" t="inlineStr">
        <is>
          <t>MJÖLBY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46229</v>
      </c>
      <c r="F194" t="inlineStr">
        <is>
          <t>ÖSTERGÖTLANDS LÄN</t>
        </is>
      </c>
      <c r="G194" t="inlineStr">
        <is>
          <t>MJÖLBY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46229</v>
      </c>
      <c r="F195" t="inlineStr">
        <is>
          <t>ÖSTERGÖTLANDS LÄN</t>
        </is>
      </c>
      <c r="G195" t="inlineStr">
        <is>
          <t>MJÖLBY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46229</v>
      </c>
      <c r="F196" t="inlineStr">
        <is>
          <t>ÖSTERGÖTLANDS LÄN</t>
        </is>
      </c>
      <c r="G196" t="inlineStr">
        <is>
          <t>MJÖLBY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46229</v>
      </c>
      <c r="F197" t="inlineStr">
        <is>
          <t>ÖSTERGÖTLANDS LÄN</t>
        </is>
      </c>
      <c r="G197" t="inlineStr">
        <is>
          <t>MJÖLBY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46229</v>
      </c>
      <c r="F198" t="inlineStr">
        <is>
          <t>ÖSTERGÖTLANDS LÄN</t>
        </is>
      </c>
      <c r="G198" t="inlineStr">
        <is>
          <t>MJÖLBY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46229</v>
      </c>
      <c r="F199" t="inlineStr">
        <is>
          <t>ÖSTERGÖTLANDS LÄN</t>
        </is>
      </c>
      <c r="G199" t="inlineStr">
        <is>
          <t>MJÖLBY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46229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38278-2024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45545</v>
      </c>
      <c r="E201" s="1" t="n">
        <v>46229</v>
      </c>
      <c r="F201" t="inlineStr">
        <is>
          <t>ÖSTERGÖTLANDS LÄN</t>
        </is>
      </c>
      <c r="G201" t="inlineStr">
        <is>
          <t>MJÖLBY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46229</v>
      </c>
      <c r="F202" t="inlineStr">
        <is>
          <t>ÖSTERGÖTLANDS LÄN</t>
        </is>
      </c>
      <c r="G202" t="inlineStr">
        <is>
          <t>MJÖLBY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46229</v>
      </c>
      <c r="F203" t="inlineStr">
        <is>
          <t>ÖSTERGÖTLANDS LÄN</t>
        </is>
      </c>
      <c r="G203" t="inlineStr">
        <is>
          <t>MJÖLBY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45314</v>
      </c>
      <c r="E204" s="1" t="n">
        <v>46229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46229</v>
      </c>
      <c r="F205" t="inlineStr">
        <is>
          <t>ÖSTERGÖTLANDS LÄN</t>
        </is>
      </c>
      <c r="G205" t="inlineStr">
        <is>
          <t>MJÖLBY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45763</v>
      </c>
      <c r="E206" s="1" t="n">
        <v>46229</v>
      </c>
      <c r="F206" t="inlineStr">
        <is>
          <t>ÖSTERGÖTLANDS LÄN</t>
        </is>
      </c>
      <c r="G206" t="inlineStr">
        <is>
          <t>MJÖLBY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27232-2025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45812</v>
      </c>
      <c r="E207" s="1" t="n">
        <v>46229</v>
      </c>
      <c r="F207" t="inlineStr">
        <is>
          <t>ÖSTERGÖTLANDS LÄN</t>
        </is>
      </c>
      <c r="G207" t="inlineStr">
        <is>
          <t>MJÖLBY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46229</v>
      </c>
      <c r="F208" t="inlineStr">
        <is>
          <t>ÖSTERGÖTLANDS LÄN</t>
        </is>
      </c>
      <c r="G208" t="inlineStr">
        <is>
          <t>MJÖLBY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46229</v>
      </c>
      <c r="F209" t="inlineStr">
        <is>
          <t>ÖSTERGÖTLANDS LÄN</t>
        </is>
      </c>
      <c r="G209" t="inlineStr">
        <is>
          <t>MJÖLBY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46229</v>
      </c>
      <c r="F210" t="inlineStr">
        <is>
          <t>ÖSTERGÖTLANDS LÄN</t>
        </is>
      </c>
      <c r="G210" t="inlineStr">
        <is>
          <t>MJÖLBY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46229</v>
      </c>
      <c r="F211" t="inlineStr">
        <is>
          <t>ÖSTERGÖTLANDS LÄN</t>
        </is>
      </c>
      <c r="G211" t="inlineStr">
        <is>
          <t>MJÖLBY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46229</v>
      </c>
      <c r="F212" t="inlineStr">
        <is>
          <t>ÖSTERGÖTLANDS LÄN</t>
        </is>
      </c>
      <c r="G212" t="inlineStr">
        <is>
          <t>MJÖLBY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46229</v>
      </c>
      <c r="F213" t="inlineStr">
        <is>
          <t>ÖSTERGÖTLANDS LÄN</t>
        </is>
      </c>
      <c r="G213" t="inlineStr">
        <is>
          <t>MJÖLBY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46229</v>
      </c>
      <c r="F214" t="inlineStr">
        <is>
          <t>ÖSTERGÖTLANDS LÄN</t>
        </is>
      </c>
      <c r="G214" t="inlineStr">
        <is>
          <t>MJÖLBY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44810</v>
      </c>
      <c r="E215" s="1" t="n">
        <v>46229</v>
      </c>
      <c r="F215" t="inlineStr">
        <is>
          <t>ÖSTERGÖTLANDS LÄN</t>
        </is>
      </c>
      <c r="G215" t="inlineStr">
        <is>
          <t>MJÖLBY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46229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2026-07-26T01:53:59Z</dcterms:created>
  <dcterms:modified xmlns:dcterms="http://purl.org/dc/terms/" xmlns:xsi="http://www.w3.org/2001/XMLSchema-instance" xsi:type="dcterms:W3CDTF">2026-07-26T01:53:59Z</dcterms:modified>
</cp:coreProperties>
</file>