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46270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46270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46270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46270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46270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46270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46270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54444-2021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46270</v>
      </c>
      <c r="F9" t="inlineStr">
        <is>
          <t>ÖSTERGÖTLANDS LÄN</t>
        </is>
      </c>
      <c r="G9" t="inlineStr">
        <is>
          <t>MJÖLBY</t>
        </is>
      </c>
      <c r="I9" t="n">
        <v>1.3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Ängshök</t>
        </is>
      </c>
      <c r="W9">
        <f>HYPERLINK("https://klasma.github.io/Logging_0586/artfynd/A 54444-2021 artfynd.xlsx", "A 54444-2021")</f>
        <v/>
      </c>
      <c r="X9">
        <f>HYPERLINK("https://klasma.github.io/Logging_0586/kartor/A 54444-2021 karta.png", "A 54444-2021")</f>
        <v/>
      </c>
      <c r="Y9">
        <f>HYPERLINK("https://klasma.github.io/Logging_0586/kartor_geotiff/A 54444-2021 georefererad karta.tif", "A 54444-2021")</f>
        <v/>
      </c>
      <c r="AA9">
        <f>HYPERLINK("https://klasma.github.io/Logging_0586/klagomål/A 54444-2021 FSC-klagomål.docx", "A 54444-2021")</f>
        <v/>
      </c>
      <c r="AB9">
        <f>HYPERLINK("https://klasma.github.io/Logging_0586/klagomålsmail/A 54444-2021 FSC-klagomål mail.docx", "A 54444-2021")</f>
        <v/>
      </c>
      <c r="AC9">
        <f>HYPERLINK("https://klasma.github.io/Logging_0586/tillsyn/A 54444-2021 tillsynsbegäran.docx", "A 54444-2021")</f>
        <v/>
      </c>
      <c r="AD9">
        <f>HYPERLINK("https://klasma.github.io/Logging_0586/tillsynsmail/A 54444-2021 tillsynsbegäran mail.docx", "A 54444-2021")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46270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46270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46270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22327-2024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45446</v>
      </c>
      <c r="E13" s="1" t="n">
        <v>46270</v>
      </c>
      <c r="F13" t="inlineStr">
        <is>
          <t>ÖSTERGÖTLANDS LÄN</t>
        </is>
      </c>
      <c r="G13" t="inlineStr">
        <is>
          <t>MJÖLBY</t>
        </is>
      </c>
      <c r="I13" t="n">
        <v>1.8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HYPERLINK("https://klasma.github.io/Logging_0586/artfynd/A 22327-2024 artfynd.xlsx", "A 22327-2024")</f>
        <v/>
      </c>
      <c r="X13">
        <f>HYPERLINK("https://klasma.github.io/Logging_0586/kartor/A 22327-2024 karta.png", "A 22327-2024")</f>
        <v/>
      </c>
      <c r="Y13">
        <f>HYPERLINK("https://klasma.github.io/Logging_0586/kartor_geotiff/A 22327-2024 georefererad karta.tif", "A 22327-2024")</f>
        <v/>
      </c>
      <c r="AA13">
        <f>HYPERLINK("https://klasma.github.io/Logging_0586/klagomål/A 22327-2024 FSC-klagomål.docx", "A 22327-2024")</f>
        <v/>
      </c>
      <c r="AB13">
        <f>HYPERLINK("https://klasma.github.io/Logging_0586/klagomålsmail/A 22327-2024 FSC-klagomål mail.docx", "A 22327-2024")</f>
        <v/>
      </c>
      <c r="AC13">
        <f>HYPERLINK("https://klasma.github.io/Logging_0586/tillsyn/A 22327-2024 tillsynsbegäran.docx", "A 22327-2024")</f>
        <v/>
      </c>
      <c r="AD13">
        <f>HYPERLINK("https://klasma.github.io/Logging_0586/tillsynsmail/A 22327-2024 tillsynsbegäran mail.docx", "A 22327-2024")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46270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46270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46270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46270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46270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46270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Skogsduva</t>
        </is>
      </c>
      <c r="W19">
        <f>HYPERLINK("https://klasma.github.io/Logging_0586/artfynd/A 45164-2023 artfynd.xlsx", "A 45164-2023")</f>
        <v/>
      </c>
      <c r="X19">
        <f>HYPERLINK("https://klasma.github.io/Logging_0586/kartor/A 45164-2023 karta.png", "A 45164-2023")</f>
        <v/>
      </c>
      <c r="Y19">
        <f>HYPERLINK("https://klasma.github.io/Logging_0586/kartor_geotiff/A 45164-2023 georefererad karta.tif", "A 45164-2023")</f>
        <v/>
      </c>
      <c r="AA19">
        <f>HYPERLINK("https://klasma.github.io/Logging_0586/klagomål/A 45164-2023 FSC-klagomål.docx", "A 45164-2023")</f>
        <v/>
      </c>
      <c r="AB19">
        <f>HYPERLINK("https://klasma.github.io/Logging_0586/klagomålsmail/A 45164-2023 FSC-klagomål mail.docx", "A 45164-2023")</f>
        <v/>
      </c>
      <c r="AC19">
        <f>HYPERLINK("https://klasma.github.io/Logging_0586/tillsyn/A 45164-2023 tillsynsbegäran.docx", "A 45164-2023")</f>
        <v/>
      </c>
      <c r="AD19">
        <f>HYPERLINK("https://klasma.github.io/Logging_0586/tillsynsmail/A 45164-2023 tillsynsbegäran mail.docx", "A 45164-2023")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46270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Vårstarr</t>
        </is>
      </c>
      <c r="W20">
        <f>HYPERLINK("https://klasma.github.io/Logging_0586/artfynd/A 51642-2021 artfynd.xlsx", "A 51642-2021")</f>
        <v/>
      </c>
      <c r="X20">
        <f>HYPERLINK("https://klasma.github.io/Logging_0586/kartor/A 51642-2021 karta.png", "A 51642-2021")</f>
        <v/>
      </c>
      <c r="Y20">
        <f>HYPERLINK("https://klasma.github.io/Logging_0586/kartor_geotiff/A 51642-2021 georefererad karta.tif", "A 51642-2021")</f>
        <v/>
      </c>
      <c r="AA20">
        <f>HYPERLINK("https://klasma.github.io/Logging_0586/klagomål/A 51642-2021 FSC-klagomål.docx", "A 51642-2021")</f>
        <v/>
      </c>
      <c r="AB20">
        <f>HYPERLINK("https://klasma.github.io/Logging_0586/klagomålsmail/A 51642-2021 FSC-klagomål mail.docx", "A 51642-2021")</f>
        <v/>
      </c>
      <c r="AC20">
        <f>HYPERLINK("https://klasma.github.io/Logging_0586/tillsyn/A 51642-2021 tillsynsbegäran.docx", "A 51642-2021")</f>
        <v/>
      </c>
      <c r="AD20">
        <f>HYPERLINK("https://klasma.github.io/Logging_0586/tillsynsmail/A 51642-2021 tillsynsbegäran mail.docx", "A 51642-2021")</f>
        <v/>
      </c>
    </row>
    <row r="21" ht="15" customHeight="1">
      <c r="A21" t="inlineStr">
        <is>
          <t>A 51642-2021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46270</v>
      </c>
      <c r="F21" t="inlineStr">
        <is>
          <t>ÖSTERGÖTLANDS LÄN</t>
        </is>
      </c>
      <c r="G21" t="inlineStr">
        <is>
          <t>MJÖLBY</t>
        </is>
      </c>
      <c r="I21" t="n">
        <v>2.9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Vårstarr</t>
        </is>
      </c>
      <c r="W21">
        <f>HYPERLINK("https://klasma.github.io/Logging_0586/artfynd/A 51642-2021 artfynd.xlsx", "A 51642-2021")</f>
        <v/>
      </c>
      <c r="X21">
        <f>HYPERLINK("https://klasma.github.io/Logging_0586/kartor/A 51642-2021 karta.png", "A 51642-2021")</f>
        <v/>
      </c>
      <c r="Y21">
        <f>HYPERLINK("https://klasma.github.io/Logging_0586/kartor_geotiff/A 51642-2021 georefererad karta.tif", "A 51642-2021")</f>
        <v/>
      </c>
      <c r="AA21">
        <f>HYPERLINK("https://klasma.github.io/Logging_0586/klagomål/A 51642-2021 FSC-klagomål.docx", "A 51642-2021")</f>
        <v/>
      </c>
      <c r="AB21">
        <f>HYPERLINK("https://klasma.github.io/Logging_0586/klagomålsmail/A 51642-2021 FSC-klagomål mail.docx", "A 51642-2021")</f>
        <v/>
      </c>
      <c r="AC21">
        <f>HYPERLINK("https://klasma.github.io/Logging_0586/tillsyn/A 51642-2021 tillsynsbegäran.docx", "A 51642-2021")</f>
        <v/>
      </c>
      <c r="AD21">
        <f>HYPERLINK("https://klasma.github.io/Logging_0586/tillsynsmail/A 51642-2021 tillsynsbegäran mail.docx", "A 51642-2021")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46270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32573-2026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46270</v>
      </c>
      <c r="F23" t="inlineStr">
        <is>
          <t>ÖSTERGÖTLANDS LÄN</t>
        </is>
      </c>
      <c r="G23" t="inlineStr">
        <is>
          <t>MJÖLBY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HYPERLINK("https://klasma.github.io/Logging_0586/artfynd/A 32573-2026 artfynd.xlsx", "A 32573-2026")</f>
        <v/>
      </c>
      <c r="X23">
        <f>HYPERLINK("https://klasma.github.io/Logging_0586/kartor/A 32573-2026 karta.png", "A 32573-2026")</f>
        <v/>
      </c>
      <c r="Y23">
        <f>HYPERLINK("https://klasma.github.io/Logging_0586/kartor_geotiff/A 32573-2026 georefererad karta.tif", "A 32573-2026")</f>
        <v/>
      </c>
      <c r="AA23">
        <f>HYPERLINK("https://klasma.github.io/Logging_0586/klagomål/A 32573-2026 FSC-klagomål.docx", "A 32573-2026")</f>
        <v/>
      </c>
      <c r="AB23">
        <f>HYPERLINK("https://klasma.github.io/Logging_0586/klagomålsmail/A 32573-2026 FSC-klagomål mail.docx", "A 32573-2026")</f>
        <v/>
      </c>
      <c r="AC23">
        <f>HYPERLINK("https://klasma.github.io/Logging_0586/tillsyn/A 32573-2026 tillsynsbegäran.docx", "A 32573-2026")</f>
        <v/>
      </c>
      <c r="AD23">
        <f>HYPERLINK("https://klasma.github.io/Logging_0586/tillsynsmail/A 32573-2026 tillsynsbegäran mail.docx", "A 32573-2026")</f>
        <v/>
      </c>
    </row>
    <row r="24" ht="15" customHeight="1">
      <c r="A24" t="inlineStr">
        <is>
          <t>A 32554-2026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46270</v>
      </c>
      <c r="F24" t="inlineStr">
        <is>
          <t>ÖSTERGÖTLANDS LÄN</t>
        </is>
      </c>
      <c r="G24" t="inlineStr">
        <is>
          <t>MJÖLBY</t>
        </is>
      </c>
      <c r="H24" t="inlineStr">
        <is>
          <t>Övriga Aktiebolag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Purpurknipprot</t>
        </is>
      </c>
      <c r="W24">
        <f>HYPERLINK("https://klasma.github.io/Logging_0586/artfynd/A 32554-2026 artfynd.xlsx", "A 32554-2026")</f>
        <v/>
      </c>
      <c r="X24">
        <f>HYPERLINK("https://klasma.github.io/Logging_0586/kartor/A 32554-2026 karta.png", "A 32554-2026")</f>
        <v/>
      </c>
      <c r="Y24">
        <f>HYPERLINK("https://klasma.github.io/Logging_0586/kartor_geotiff/A 32554-2026 georefererad karta.tif", "A 32554-2026")</f>
        <v/>
      </c>
      <c r="AA24">
        <f>HYPERLINK("https://klasma.github.io/Logging_0586/klagomål/A 32554-2026 FSC-klagomål.docx", "A 32554-2026")</f>
        <v/>
      </c>
      <c r="AB24">
        <f>HYPERLINK("https://klasma.github.io/Logging_0586/klagomålsmail/A 32554-2026 FSC-klagomål mail.docx", "A 32554-2026")</f>
        <v/>
      </c>
      <c r="AC24">
        <f>HYPERLINK("https://klasma.github.io/Logging_0586/tillsyn/A 32554-2026 tillsynsbegäran.docx", "A 32554-2026")</f>
        <v/>
      </c>
      <c r="AD24">
        <f>HYPERLINK("https://klasma.github.io/Logging_0586/tillsynsmail/A 32554-2026 tillsynsbegäran mail.docx", "A 32554-2026")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46270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34869-2026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46255</v>
      </c>
      <c r="E26" s="1" t="n">
        <v>46270</v>
      </c>
      <c r="F26" t="inlineStr">
        <is>
          <t>ÖSTERGÖTLANDS LÄN</t>
        </is>
      </c>
      <c r="G26" t="inlineStr">
        <is>
          <t>MJÖLBY</t>
        </is>
      </c>
      <c r="I26" t="n">
        <v>1.3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Backsippa</t>
        </is>
      </c>
      <c r="W26">
        <f>HYPERLINK("https://klasma.github.io/Logging_0586/artfynd/A 34869-2026 artfynd.xlsx", "A 34869-2026")</f>
        <v/>
      </c>
      <c r="X26">
        <f>HYPERLINK("https://klasma.github.io/Logging_0586/kartor/A 34869-2026 karta.png", "A 34869-2026")</f>
        <v/>
      </c>
      <c r="Y26">
        <f>HYPERLINK("https://klasma.github.io/Logging_0586/kartor_geotiff/A 34869-2026 georefererad karta.tif", "A 34869-2026")</f>
        <v/>
      </c>
      <c r="AA26">
        <f>HYPERLINK("https://klasma.github.io/Logging_0586/klagomål/A 34869-2026 FSC-klagomål.docx", "A 34869-2026")</f>
        <v/>
      </c>
      <c r="AB26">
        <f>HYPERLINK("https://klasma.github.io/Logging_0586/klagomålsmail/A 34869-2026 FSC-klagomål mail.docx", "A 34869-2026")</f>
        <v/>
      </c>
      <c r="AC26">
        <f>HYPERLINK("https://klasma.github.io/Logging_0586/tillsyn/A 34869-2026 tillsynsbegäran.docx", "A 34869-2026")</f>
        <v/>
      </c>
      <c r="AD26">
        <f>HYPERLINK("https://klasma.github.io/Logging_0586/tillsynsmail/A 34869-2026 tillsynsbegäran mail.docx", "A 34869-2026")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46270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46270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46270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46270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46270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46270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46270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46270</v>
      </c>
      <c r="F34" t="inlineStr">
        <is>
          <t>ÖSTERGÖTLANDS LÄN</t>
        </is>
      </c>
      <c r="G34" t="inlineStr">
        <is>
          <t>MJÖLBY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44692</v>
      </c>
      <c r="E35" s="1" t="n">
        <v>46270</v>
      </c>
      <c r="F35" t="inlineStr">
        <is>
          <t>ÖSTERGÖTLANDS LÄN</t>
        </is>
      </c>
      <c r="G35" t="inlineStr">
        <is>
          <t>MJÖLBY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44627</v>
      </c>
      <c r="E36" s="1" t="n">
        <v>46270</v>
      </c>
      <c r="F36" t="inlineStr">
        <is>
          <t>ÖSTERGÖTLANDS LÄN</t>
        </is>
      </c>
      <c r="G36" t="inlineStr">
        <is>
          <t>MJÖLBY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44951</v>
      </c>
      <c r="E37" s="1" t="n">
        <v>46270</v>
      </c>
      <c r="F37" t="inlineStr">
        <is>
          <t>ÖSTERGÖTLANDS LÄN</t>
        </is>
      </c>
      <c r="G37" t="inlineStr">
        <is>
          <t>MJÖLBY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50901-2024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46270</v>
      </c>
      <c r="F38" t="inlineStr">
        <is>
          <t>ÖSTERGÖTLANDS LÄN</t>
        </is>
      </c>
      <c r="G38" t="inlineStr">
        <is>
          <t>MJÖLBY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45009</v>
      </c>
      <c r="E39" s="1" t="n">
        <v>46270</v>
      </c>
      <c r="F39" t="inlineStr">
        <is>
          <t>ÖSTERGÖTLANDS LÄN</t>
        </is>
      </c>
      <c r="G39" t="inlineStr">
        <is>
          <t>MJÖLBY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36401-2023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46270</v>
      </c>
      <c r="F40" t="inlineStr">
        <is>
          <t>ÖSTERGÖTLANDS LÄN</t>
        </is>
      </c>
      <c r="G40" t="inlineStr">
        <is>
          <t>MJÖLBY</t>
        </is>
      </c>
      <c r="H40" t="inlineStr">
        <is>
          <t>Allmännings- och besparingsskogar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50886-2024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46270</v>
      </c>
      <c r="F41" t="inlineStr">
        <is>
          <t>ÖSTERGÖTLANDS LÄN</t>
        </is>
      </c>
      <c r="G41" t="inlineStr">
        <is>
          <t>MJÖLBY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46270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43012-2024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45567</v>
      </c>
      <c r="E43" s="1" t="n">
        <v>46270</v>
      </c>
      <c r="F43" t="inlineStr">
        <is>
          <t>ÖSTERGÖTLANDS LÄN</t>
        </is>
      </c>
      <c r="G43" t="inlineStr">
        <is>
          <t>MJÖLBY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45407</v>
      </c>
      <c r="E44" s="1" t="n">
        <v>46270</v>
      </c>
      <c r="F44" t="inlineStr">
        <is>
          <t>ÖSTERGÖTLANDS LÄN</t>
        </is>
      </c>
      <c r="G44" t="inlineStr">
        <is>
          <t>MJÖLBY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46270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46270</v>
      </c>
      <c r="F46" t="inlineStr">
        <is>
          <t>ÖSTERGÖTLANDS LÄN</t>
        </is>
      </c>
      <c r="G46" t="inlineStr">
        <is>
          <t>MJÖLBY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45282</v>
      </c>
      <c r="E47" s="1" t="n">
        <v>46270</v>
      </c>
      <c r="F47" t="inlineStr">
        <is>
          <t>ÖSTERGÖTLANDS LÄN</t>
        </is>
      </c>
      <c r="G47" t="inlineStr">
        <is>
          <t>MJÖLBY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24499-2025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45798</v>
      </c>
      <c r="E48" s="1" t="n">
        <v>46270</v>
      </c>
      <c r="F48" t="inlineStr">
        <is>
          <t>ÖSTERGÖTLANDS LÄN</t>
        </is>
      </c>
      <c r="G48" t="inlineStr">
        <is>
          <t>MJÖLBY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46270</v>
      </c>
      <c r="F49" t="inlineStr">
        <is>
          <t>ÖSTERGÖTLANDS LÄN</t>
        </is>
      </c>
      <c r="G49" t="inlineStr">
        <is>
          <t>MJÖLBY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46270</v>
      </c>
      <c r="F50" t="inlineStr">
        <is>
          <t>ÖSTERGÖTLANDS LÄN</t>
        </is>
      </c>
      <c r="G50" t="inlineStr">
        <is>
          <t>MJÖLBY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45170</v>
      </c>
      <c r="E51" s="1" t="n">
        <v>46270</v>
      </c>
      <c r="F51" t="inlineStr">
        <is>
          <t>ÖSTERGÖTLANDS LÄN</t>
        </is>
      </c>
      <c r="G51" t="inlineStr">
        <is>
          <t>MJÖLBY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27232-2025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45812</v>
      </c>
      <c r="E52" s="1" t="n">
        <v>46270</v>
      </c>
      <c r="F52" t="inlineStr">
        <is>
          <t>ÖSTERGÖTLANDS LÄN</t>
        </is>
      </c>
      <c r="G52" t="inlineStr">
        <is>
          <t>MJÖLBY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9125-2023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44980</v>
      </c>
      <c r="E53" s="1" t="n">
        <v>46270</v>
      </c>
      <c r="F53" t="inlineStr">
        <is>
          <t>ÖSTERGÖTLANDS LÄN</t>
        </is>
      </c>
      <c r="G53" t="inlineStr">
        <is>
          <t>MJÖLBY</t>
        </is>
      </c>
      <c r="H53" t="inlineStr">
        <is>
          <t>Kyrkan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28663-2025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45819</v>
      </c>
      <c r="E54" s="1" t="n">
        <v>46270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46270</v>
      </c>
      <c r="F55" t="inlineStr">
        <is>
          <t>ÖSTERGÖTLANDS LÄN</t>
        </is>
      </c>
      <c r="G55" t="inlineStr">
        <is>
          <t>MJÖLBY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44663</v>
      </c>
      <c r="E56" s="1" t="n">
        <v>46270</v>
      </c>
      <c r="F56" t="inlineStr">
        <is>
          <t>ÖSTERGÖTLANDS LÄN</t>
        </is>
      </c>
      <c r="G56" t="inlineStr">
        <is>
          <t>MJÖLBY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50179-2023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45208</v>
      </c>
      <c r="E57" s="1" t="n">
        <v>46270</v>
      </c>
      <c r="F57" t="inlineStr">
        <is>
          <t>ÖSTERGÖTLANDS LÄN</t>
        </is>
      </c>
      <c r="G57" t="inlineStr">
        <is>
          <t>MJÖLBY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45221</v>
      </c>
      <c r="E58" s="1" t="n">
        <v>46270</v>
      </c>
      <c r="F58" t="inlineStr">
        <is>
          <t>ÖSTERGÖTLANDS LÄN</t>
        </is>
      </c>
      <c r="G58" t="inlineStr">
        <is>
          <t>MJÖLBY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46270</v>
      </c>
      <c r="F59" t="inlineStr">
        <is>
          <t>ÖSTERGÖTLANDS LÄN</t>
        </is>
      </c>
      <c r="G59" t="inlineStr">
        <is>
          <t>MJÖLBY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44971</v>
      </c>
      <c r="E60" s="1" t="n">
        <v>46270</v>
      </c>
      <c r="F60" t="inlineStr">
        <is>
          <t>ÖSTERGÖTLANDS LÄN</t>
        </is>
      </c>
      <c r="G60" t="inlineStr">
        <is>
          <t>MJÖLBY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23781-2025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45793</v>
      </c>
      <c r="E61" s="1" t="n">
        <v>46270</v>
      </c>
      <c r="F61" t="inlineStr">
        <is>
          <t>ÖSTERGÖTLANDS LÄN</t>
        </is>
      </c>
      <c r="G61" t="inlineStr">
        <is>
          <t>MJÖLBY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46270</v>
      </c>
      <c r="F62" t="inlineStr">
        <is>
          <t>ÖSTERGÖTLANDS LÄN</t>
        </is>
      </c>
      <c r="G62" t="inlineStr">
        <is>
          <t>MJÖLBY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46270</v>
      </c>
      <c r="F63" t="inlineStr">
        <is>
          <t>ÖSTERGÖTLANDS LÄN</t>
        </is>
      </c>
      <c r="G63" t="inlineStr">
        <is>
          <t>MJÖLBY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31624-2025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45834</v>
      </c>
      <c r="E64" s="1" t="n">
        <v>46270</v>
      </c>
      <c r="F64" t="inlineStr">
        <is>
          <t>ÖSTERGÖTLANDS LÄN</t>
        </is>
      </c>
      <c r="G64" t="inlineStr">
        <is>
          <t>MJÖLBY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31623-2025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46270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46270</v>
      </c>
      <c r="F66" t="inlineStr">
        <is>
          <t>ÖSTERGÖTLANDS LÄN</t>
        </is>
      </c>
      <c r="G66" t="inlineStr">
        <is>
          <t>MJÖLBY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46270</v>
      </c>
      <c r="F67" t="inlineStr">
        <is>
          <t>ÖSTERGÖTLANDS LÄN</t>
        </is>
      </c>
      <c r="G67" t="inlineStr">
        <is>
          <t>MJÖLBY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58412-2023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45250</v>
      </c>
      <c r="E68" s="1" t="n">
        <v>46270</v>
      </c>
      <c r="F68" t="inlineStr">
        <is>
          <t>ÖSTERGÖTLANDS LÄN</t>
        </is>
      </c>
      <c r="G68" t="inlineStr">
        <is>
          <t>MJÖLBY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63449-2023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45273</v>
      </c>
      <c r="E69" s="1" t="n">
        <v>46270</v>
      </c>
      <c r="F69" t="inlineStr">
        <is>
          <t>ÖSTERGÖTLANDS LÄN</t>
        </is>
      </c>
      <c r="G69" t="inlineStr">
        <is>
          <t>MJÖLBY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46270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46270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46270</v>
      </c>
      <c r="F72" t="inlineStr">
        <is>
          <t>ÖSTERGÖTLANDS LÄN</t>
        </is>
      </c>
      <c r="G72" t="inlineStr">
        <is>
          <t>MJÖLBY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46270</v>
      </c>
      <c r="F73" t="inlineStr">
        <is>
          <t>ÖSTERGÖTLANDS LÄN</t>
        </is>
      </c>
      <c r="G73" t="inlineStr">
        <is>
          <t>MJÖLBY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46270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46270</v>
      </c>
      <c r="F75" t="inlineStr">
        <is>
          <t>ÖSTERGÖTLANDS LÄN</t>
        </is>
      </c>
      <c r="G75" t="inlineStr">
        <is>
          <t>MJÖLBY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45681</v>
      </c>
      <c r="E76" s="1" t="n">
        <v>46270</v>
      </c>
      <c r="F76" t="inlineStr">
        <is>
          <t>ÖSTERGÖTLANDS LÄN</t>
        </is>
      </c>
      <c r="G76" t="inlineStr">
        <is>
          <t>MJÖLBY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37802-2022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44810</v>
      </c>
      <c r="E77" s="1" t="n">
        <v>46270</v>
      </c>
      <c r="F77" t="inlineStr">
        <is>
          <t>ÖSTERGÖTLANDS LÄN</t>
        </is>
      </c>
      <c r="G77" t="inlineStr">
        <is>
          <t>MJÖLBY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46270</v>
      </c>
      <c r="F78" t="inlineStr">
        <is>
          <t>ÖSTERGÖTLANDS LÄN</t>
        </is>
      </c>
      <c r="G78" t="inlineStr">
        <is>
          <t>MJÖLBY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65921-2021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46270</v>
      </c>
      <c r="F79" t="inlineStr">
        <is>
          <t>ÖSTERGÖTLANDS LÄN</t>
        </is>
      </c>
      <c r="G79" t="inlineStr">
        <is>
          <t>MJÖLBY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46270</v>
      </c>
      <c r="F80" t="inlineStr">
        <is>
          <t>ÖSTERGÖTLANDS LÄN</t>
        </is>
      </c>
      <c r="G80" t="inlineStr">
        <is>
          <t>MJÖLBY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44473</v>
      </c>
      <c r="E81" s="1" t="n">
        <v>46270</v>
      </c>
      <c r="F81" t="inlineStr">
        <is>
          <t>ÖSTERGÖTLANDS LÄN</t>
        </is>
      </c>
      <c r="G81" t="inlineStr">
        <is>
          <t>MJÖLBY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46270</v>
      </c>
      <c r="F82" t="inlineStr">
        <is>
          <t>ÖSTERGÖTLANDS LÄN</t>
        </is>
      </c>
      <c r="G82" t="inlineStr">
        <is>
          <t>MJÖLBY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46270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46270</v>
      </c>
      <c r="F84" t="inlineStr">
        <is>
          <t>ÖSTERGÖTLANDS LÄN</t>
        </is>
      </c>
      <c r="G84" t="inlineStr">
        <is>
          <t>MJÖLBY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46048</v>
      </c>
      <c r="E85" s="1" t="n">
        <v>46270</v>
      </c>
      <c r="F85" t="inlineStr">
        <is>
          <t>ÖSTERGÖTLANDS LÄN</t>
        </is>
      </c>
      <c r="G85" t="inlineStr">
        <is>
          <t>MJÖLBY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46270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44936</v>
      </c>
      <c r="E87" s="1" t="n">
        <v>46270</v>
      </c>
      <c r="F87" t="inlineStr">
        <is>
          <t>ÖSTERGÖTLANDS LÄN</t>
        </is>
      </c>
      <c r="G87" t="inlineStr">
        <is>
          <t>MJÖLBY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44769-2025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46270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44770-2025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46270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46270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46270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45370</v>
      </c>
      <c r="E92" s="1" t="n">
        <v>46270</v>
      </c>
      <c r="F92" t="inlineStr">
        <is>
          <t>ÖSTERGÖTLANDS LÄN</t>
        </is>
      </c>
      <c r="G92" t="inlineStr">
        <is>
          <t>MJÖLBY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45370</v>
      </c>
      <c r="E93" s="1" t="n">
        <v>46270</v>
      </c>
      <c r="F93" t="inlineStr">
        <is>
          <t>ÖSTERGÖTLANDS LÄN</t>
        </is>
      </c>
      <c r="G93" t="inlineStr">
        <is>
          <t>MJÖLBY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57181-2025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45979</v>
      </c>
      <c r="E94" s="1" t="n">
        <v>46270</v>
      </c>
      <c r="F94" t="inlineStr">
        <is>
          <t>ÖSTERGÖTLANDS LÄN</t>
        </is>
      </c>
      <c r="G94" t="inlineStr">
        <is>
          <t>MJÖLBY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46270</v>
      </c>
      <c r="F95" t="inlineStr">
        <is>
          <t>ÖSTERGÖTLANDS LÄN</t>
        </is>
      </c>
      <c r="G95" t="inlineStr">
        <is>
          <t>MJÖLBY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45982</v>
      </c>
      <c r="E96" s="1" t="n">
        <v>46270</v>
      </c>
      <c r="F96" t="inlineStr">
        <is>
          <t>ÖSTERGÖTLANDS LÄN</t>
        </is>
      </c>
      <c r="G96" t="inlineStr">
        <is>
          <t>MJÖLBY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46270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46270</v>
      </c>
      <c r="F98" t="inlineStr">
        <is>
          <t>ÖSTERGÖTLANDS LÄN</t>
        </is>
      </c>
      <c r="G98" t="inlineStr">
        <is>
          <t>MJÖLBY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11944-2024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45376</v>
      </c>
      <c r="E99" s="1" t="n">
        <v>46270</v>
      </c>
      <c r="F99" t="inlineStr">
        <is>
          <t>ÖSTERGÖTLANDS LÄN</t>
        </is>
      </c>
      <c r="G99" t="inlineStr">
        <is>
          <t>MJÖLBY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46270</v>
      </c>
      <c r="F100" t="inlineStr">
        <is>
          <t>ÖSTERGÖTLANDS LÄN</t>
        </is>
      </c>
      <c r="G100" t="inlineStr">
        <is>
          <t>MJÖLBY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46270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46270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46079</v>
      </c>
      <c r="E103" s="1" t="n">
        <v>46270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45681</v>
      </c>
      <c r="E104" s="1" t="n">
        <v>46270</v>
      </c>
      <c r="F104" t="inlineStr">
        <is>
          <t>ÖSTERGÖTLANDS LÄN</t>
        </is>
      </c>
      <c r="G104" t="inlineStr">
        <is>
          <t>MJÖLBY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44904</v>
      </c>
      <c r="E105" s="1" t="n">
        <v>46270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Övriga Aktiebolag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44580</v>
      </c>
      <c r="E106" s="1" t="n">
        <v>46270</v>
      </c>
      <c r="F106" t="inlineStr">
        <is>
          <t>ÖSTERGÖTLANDS LÄN</t>
        </is>
      </c>
      <c r="G106" t="inlineStr">
        <is>
          <t>MJÖLBY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46270</v>
      </c>
      <c r="F107" t="inlineStr">
        <is>
          <t>ÖSTERGÖTLANDS LÄN</t>
        </is>
      </c>
      <c r="G107" t="inlineStr">
        <is>
          <t>MJÖLBY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46270</v>
      </c>
      <c r="F108" t="inlineStr">
        <is>
          <t>ÖSTERGÖTLANDS LÄN</t>
        </is>
      </c>
      <c r="G108" t="inlineStr">
        <is>
          <t>MJÖLBY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46270</v>
      </c>
      <c r="F109" t="inlineStr">
        <is>
          <t>ÖSTERGÖTLANDS LÄN</t>
        </is>
      </c>
      <c r="G109" t="inlineStr">
        <is>
          <t>MJÖLBY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45269</v>
      </c>
      <c r="E110" s="1" t="n">
        <v>46270</v>
      </c>
      <c r="F110" t="inlineStr">
        <is>
          <t>ÖSTERGÖTLANDS LÄN</t>
        </is>
      </c>
      <c r="G110" t="inlineStr">
        <is>
          <t>MJÖLBY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46270</v>
      </c>
      <c r="F111" t="inlineStr">
        <is>
          <t>ÖSTERGÖTLANDS LÄN</t>
        </is>
      </c>
      <c r="G111" t="inlineStr">
        <is>
          <t>MJÖLBY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46007</v>
      </c>
      <c r="E112" s="1" t="n">
        <v>46270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Kyrkan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46270</v>
      </c>
      <c r="F113" t="inlineStr">
        <is>
          <t>ÖSTERGÖTLANDS LÄN</t>
        </is>
      </c>
      <c r="G113" t="inlineStr">
        <is>
          <t>MJÖLBY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45602</v>
      </c>
      <c r="E114" s="1" t="n">
        <v>46270</v>
      </c>
      <c r="F114" t="inlineStr">
        <is>
          <t>ÖSTERGÖTLANDS LÄN</t>
        </is>
      </c>
      <c r="G114" t="inlineStr">
        <is>
          <t>MJÖLBY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46270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44946</v>
      </c>
      <c r="E116" s="1" t="n">
        <v>46270</v>
      </c>
      <c r="F116" t="inlineStr">
        <is>
          <t>ÖSTERGÖTLANDS LÄN</t>
        </is>
      </c>
      <c r="G116" t="inlineStr">
        <is>
          <t>MJÖLBY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46104</v>
      </c>
      <c r="E117" s="1" t="n">
        <v>46270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14928-2026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46104</v>
      </c>
      <c r="E118" s="1" t="n">
        <v>46270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4314-2024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45324</v>
      </c>
      <c r="E119" s="1" t="n">
        <v>46270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Kyrkan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46270</v>
      </c>
      <c r="F120" t="inlineStr">
        <is>
          <t>ÖSTERGÖTLANDS LÄN</t>
        </is>
      </c>
      <c r="G120" t="inlineStr">
        <is>
          <t>MJÖLBY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45597</v>
      </c>
      <c r="E121" s="1" t="n">
        <v>46270</v>
      </c>
      <c r="F121" t="inlineStr">
        <is>
          <t>ÖSTERGÖTLANDS LÄN</t>
        </is>
      </c>
      <c r="G121" t="inlineStr">
        <is>
          <t>MJÖLBY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46108</v>
      </c>
      <c r="E122" s="1" t="n">
        <v>46270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46270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45176</v>
      </c>
      <c r="E124" s="1" t="n">
        <v>46270</v>
      </c>
      <c r="F124" t="inlineStr">
        <is>
          <t>ÖSTERGÖTLANDS LÄN</t>
        </is>
      </c>
      <c r="G124" t="inlineStr">
        <is>
          <t>MJÖLBY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46270</v>
      </c>
      <c r="F125" t="inlineStr">
        <is>
          <t>ÖSTERGÖTLANDS LÄN</t>
        </is>
      </c>
      <c r="G125" t="inlineStr">
        <is>
          <t>MJÖLBY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45446</v>
      </c>
      <c r="E126" s="1" t="n">
        <v>46270</v>
      </c>
      <c r="F126" t="inlineStr">
        <is>
          <t>ÖSTERGÖTLANDS LÄN</t>
        </is>
      </c>
      <c r="G126" t="inlineStr">
        <is>
          <t>MJÖLBY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46121</v>
      </c>
      <c r="E127" s="1" t="n">
        <v>46270</v>
      </c>
      <c r="F127" t="inlineStr">
        <is>
          <t>ÖSTERGÖTLANDS LÄN</t>
        </is>
      </c>
      <c r="G127" t="inlineStr">
        <is>
          <t>MJÖLBY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46121</v>
      </c>
      <c r="E128" s="1" t="n">
        <v>46270</v>
      </c>
      <c r="F128" t="inlineStr">
        <is>
          <t>ÖSTERGÖTLANDS LÄN</t>
        </is>
      </c>
      <c r="G128" t="inlineStr">
        <is>
          <t>MJÖLBY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44792</v>
      </c>
      <c r="E129" s="1" t="n">
        <v>46270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Kommuner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18517-2026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46270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46270</v>
      </c>
      <c r="F131" t="inlineStr">
        <is>
          <t>ÖSTERGÖTLANDS LÄN</t>
        </is>
      </c>
      <c r="G131" t="inlineStr">
        <is>
          <t>MJÖLBY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60969-2023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46270</v>
      </c>
      <c r="F132" t="inlineStr">
        <is>
          <t>ÖSTERGÖTLANDS LÄN</t>
        </is>
      </c>
      <c r="G132" t="inlineStr">
        <is>
          <t>MJÖLBY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46270</v>
      </c>
      <c r="F133" t="inlineStr">
        <is>
          <t>ÖSTERGÖTLANDS LÄN</t>
        </is>
      </c>
      <c r="G133" t="inlineStr">
        <is>
          <t>MJÖLBY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46270</v>
      </c>
      <c r="F134" t="inlineStr">
        <is>
          <t>ÖSTERGÖTLANDS LÄN</t>
        </is>
      </c>
      <c r="G134" t="inlineStr">
        <is>
          <t>MJÖLBY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41105-2025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46270</v>
      </c>
      <c r="F135" t="inlineStr">
        <is>
          <t>ÖSTERGÖTLANDS LÄN</t>
        </is>
      </c>
      <c r="G135" t="inlineStr">
        <is>
          <t>MJÖLBY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45892</v>
      </c>
      <c r="E136" s="1" t="n">
        <v>46270</v>
      </c>
      <c r="F136" t="inlineStr">
        <is>
          <t>ÖSTERGÖTLANDS LÄN</t>
        </is>
      </c>
      <c r="G136" t="inlineStr">
        <is>
          <t>MJÖLBY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45818</v>
      </c>
      <c r="E137" s="1" t="n">
        <v>46270</v>
      </c>
      <c r="F137" t="inlineStr">
        <is>
          <t>ÖSTERGÖTLANDS LÄN</t>
        </is>
      </c>
      <c r="G137" t="inlineStr">
        <is>
          <t>MJÖLBY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27255-2025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46270</v>
      </c>
      <c r="F138" t="inlineStr">
        <is>
          <t>ÖSTERGÖTLANDS LÄN</t>
        </is>
      </c>
      <c r="G138" t="inlineStr">
        <is>
          <t>MJÖLBY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45177</v>
      </c>
      <c r="E139" s="1" t="n">
        <v>46270</v>
      </c>
      <c r="F139" t="inlineStr">
        <is>
          <t>ÖSTERGÖTLANDS LÄN</t>
        </is>
      </c>
      <c r="G139" t="inlineStr">
        <is>
          <t>MJÖLBY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46270</v>
      </c>
      <c r="F140" t="inlineStr">
        <is>
          <t>ÖSTERGÖTLANDS LÄN</t>
        </is>
      </c>
      <c r="G140" t="inlineStr">
        <is>
          <t>MJÖLBY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44768</v>
      </c>
      <c r="E141" s="1" t="n">
        <v>46270</v>
      </c>
      <c r="F141" t="inlineStr">
        <is>
          <t>ÖSTERGÖTLANDS LÄN</t>
        </is>
      </c>
      <c r="G141" t="inlineStr">
        <is>
          <t>MJÖLBY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46007</v>
      </c>
      <c r="E142" s="1" t="n">
        <v>46270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Kommuner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64934-2023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46270</v>
      </c>
      <c r="F143" t="inlineStr">
        <is>
          <t>ÖSTERGÖTLANDS LÄN</t>
        </is>
      </c>
      <c r="G143" t="inlineStr">
        <is>
          <t>MJÖLBY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46270</v>
      </c>
      <c r="F144" t="inlineStr">
        <is>
          <t>ÖSTERGÖTLANDS LÄN</t>
        </is>
      </c>
      <c r="G144" t="inlineStr">
        <is>
          <t>MJÖLBY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46270</v>
      </c>
      <c r="F145" t="inlineStr">
        <is>
          <t>ÖSTERGÖTLANDS LÄN</t>
        </is>
      </c>
      <c r="G145" t="inlineStr">
        <is>
          <t>MJÖLBY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59410-2022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44907</v>
      </c>
      <c r="E146" s="1" t="n">
        <v>46270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59411-2022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44907</v>
      </c>
      <c r="E147" s="1" t="n">
        <v>46270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45677</v>
      </c>
      <c r="E148" s="1" t="n">
        <v>46270</v>
      </c>
      <c r="F148" t="inlineStr">
        <is>
          <t>ÖSTERGÖTLANDS LÄN</t>
        </is>
      </c>
      <c r="G148" t="inlineStr">
        <is>
          <t>MJÖLBY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21518-2026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46270</v>
      </c>
      <c r="F149" t="inlineStr">
        <is>
          <t>ÖSTERGÖTLANDS LÄN</t>
        </is>
      </c>
      <c r="G149" t="inlineStr">
        <is>
          <t>MJÖLBY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45525</v>
      </c>
      <c r="E150" s="1" t="n">
        <v>46270</v>
      </c>
      <c r="F150" t="inlineStr">
        <is>
          <t>ÖSTERGÖTLANDS LÄN</t>
        </is>
      </c>
      <c r="G150" t="inlineStr">
        <is>
          <t>MJÖLBY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46270</v>
      </c>
      <c r="F151" t="inlineStr">
        <is>
          <t>ÖSTERGÖTLANDS LÄN</t>
        </is>
      </c>
      <c r="G151" t="inlineStr">
        <is>
          <t>MJÖLBY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45838</v>
      </c>
      <c r="E152" s="1" t="n">
        <v>46270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46270</v>
      </c>
      <c r="F153" t="inlineStr">
        <is>
          <t>ÖSTERGÖTLANDS LÄN</t>
        </is>
      </c>
      <c r="G153" t="inlineStr">
        <is>
          <t>MJÖLBY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45217</v>
      </c>
      <c r="E154" s="1" t="n">
        <v>46270</v>
      </c>
      <c r="F154" t="inlineStr">
        <is>
          <t>ÖSTERGÖTLANDS LÄN</t>
        </is>
      </c>
      <c r="G154" t="inlineStr">
        <is>
          <t>MJÖLBY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45261</v>
      </c>
      <c r="E155" s="1" t="n">
        <v>46270</v>
      </c>
      <c r="F155" t="inlineStr">
        <is>
          <t>ÖSTERGÖTLANDS LÄN</t>
        </is>
      </c>
      <c r="G155" t="inlineStr">
        <is>
          <t>MJÖLBY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46270</v>
      </c>
      <c r="F156" t="inlineStr">
        <is>
          <t>ÖSTERGÖTLANDS LÄN</t>
        </is>
      </c>
      <c r="G156" t="inlineStr">
        <is>
          <t>MJÖLBY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46270</v>
      </c>
      <c r="F157" t="inlineStr">
        <is>
          <t>ÖSTERGÖTLANDS LÄN</t>
        </is>
      </c>
      <c r="G157" t="inlineStr">
        <is>
          <t>MJÖLBY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52655-2023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45225</v>
      </c>
      <c r="E158" s="1" t="n">
        <v>46270</v>
      </c>
      <c r="F158" t="inlineStr">
        <is>
          <t>ÖSTERGÖTLANDS LÄN</t>
        </is>
      </c>
      <c r="G158" t="inlineStr">
        <is>
          <t>MJÖLBY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45085</v>
      </c>
      <c r="E159" s="1" t="n">
        <v>46270</v>
      </c>
      <c r="F159" t="inlineStr">
        <is>
          <t>ÖSTERGÖTLANDS LÄN</t>
        </is>
      </c>
      <c r="G159" t="inlineStr">
        <is>
          <t>MJÖLBY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45553</v>
      </c>
      <c r="E160" s="1" t="n">
        <v>46270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Kyrkan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46270</v>
      </c>
      <c r="F161" t="inlineStr">
        <is>
          <t>ÖSTERGÖTLANDS LÄN</t>
        </is>
      </c>
      <c r="G161" t="inlineStr">
        <is>
          <t>MJÖLBY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44629</v>
      </c>
      <c r="E162" s="1" t="n">
        <v>46270</v>
      </c>
      <c r="F162" t="inlineStr">
        <is>
          <t>ÖSTERGÖTLANDS LÄN</t>
        </is>
      </c>
      <c r="G162" t="inlineStr">
        <is>
          <t>MJÖLBY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24139-2026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46168</v>
      </c>
      <c r="E163" s="1" t="n">
        <v>46270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46170</v>
      </c>
      <c r="E164" s="1" t="n">
        <v>46270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25031-2026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46270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46171</v>
      </c>
      <c r="E166" s="1" t="n">
        <v>46270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68095-2021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44526</v>
      </c>
      <c r="E167" s="1" t="n">
        <v>46270</v>
      </c>
      <c r="F167" t="inlineStr">
        <is>
          <t>ÖSTERGÖTLANDS LÄN</t>
        </is>
      </c>
      <c r="G167" t="inlineStr">
        <is>
          <t>MJÖLBY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46270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46174</v>
      </c>
      <c r="E169" s="1" t="n">
        <v>46270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46270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46174</v>
      </c>
      <c r="E171" s="1" t="n">
        <v>46270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24903-2026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46174</v>
      </c>
      <c r="E172" s="1" t="n">
        <v>46270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58800-2022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44903</v>
      </c>
      <c r="E173" s="1" t="n">
        <v>46270</v>
      </c>
      <c r="F173" t="inlineStr">
        <is>
          <t>ÖSTERGÖTLANDS LÄN</t>
        </is>
      </c>
      <c r="G173" t="inlineStr">
        <is>
          <t>MJÖLBY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44957</v>
      </c>
      <c r="E174" s="1" t="n">
        <v>46270</v>
      </c>
      <c r="F174" t="inlineStr">
        <is>
          <t>ÖSTERGÖTLANDS LÄN</t>
        </is>
      </c>
      <c r="G174" t="inlineStr">
        <is>
          <t>MJÖLBY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45372</v>
      </c>
      <c r="E175" s="1" t="n">
        <v>46270</v>
      </c>
      <c r="F175" t="inlineStr">
        <is>
          <t>ÖSTERGÖTLANDS LÄN</t>
        </is>
      </c>
      <c r="G175" t="inlineStr">
        <is>
          <t>MJÖLBY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51630-2021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44462</v>
      </c>
      <c r="E176" s="1" t="n">
        <v>46270</v>
      </c>
      <c r="F176" t="inlineStr">
        <is>
          <t>ÖSTERGÖTLANDS LÄN</t>
        </is>
      </c>
      <c r="G176" t="inlineStr">
        <is>
          <t>MJÖLBY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25503-2026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46270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46270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46270</v>
      </c>
      <c r="F179" t="inlineStr">
        <is>
          <t>ÖSTERGÖTLANDS LÄN</t>
        </is>
      </c>
      <c r="G179" t="inlineStr">
        <is>
          <t>MJÖLBY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46270</v>
      </c>
      <c r="F180" t="inlineStr">
        <is>
          <t>ÖSTERGÖTLANDS LÄN</t>
        </is>
      </c>
      <c r="G180" t="inlineStr">
        <is>
          <t>MJÖLBY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45342</v>
      </c>
      <c r="E181" s="1" t="n">
        <v>46270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46270</v>
      </c>
      <c r="F182" t="inlineStr">
        <is>
          <t>ÖSTERGÖTLANDS LÄN</t>
        </is>
      </c>
      <c r="G182" t="inlineStr">
        <is>
          <t>MJÖLBY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27126-2026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46188</v>
      </c>
      <c r="E183" s="1" t="n">
        <v>46270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46270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31928-2026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46232</v>
      </c>
      <c r="E185" s="1" t="n">
        <v>46270</v>
      </c>
      <c r="F185" t="inlineStr">
        <is>
          <t>ÖSTERGÖTLANDS LÄN</t>
        </is>
      </c>
      <c r="G185" t="inlineStr">
        <is>
          <t>MJÖLBY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46232</v>
      </c>
      <c r="E186" s="1" t="n">
        <v>46270</v>
      </c>
      <c r="F186" t="inlineStr">
        <is>
          <t>ÖSTERGÖTLANDS LÄN</t>
        </is>
      </c>
      <c r="G186" t="inlineStr">
        <is>
          <t>MJÖLBY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46232</v>
      </c>
      <c r="E187" s="1" t="n">
        <v>46270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44879</v>
      </c>
      <c r="E188" s="1" t="n">
        <v>46270</v>
      </c>
      <c r="F188" t="inlineStr">
        <is>
          <t>ÖSTERGÖTLANDS LÄN</t>
        </is>
      </c>
      <c r="G188" t="inlineStr">
        <is>
          <t>MJÖLBY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46270</v>
      </c>
      <c r="F189" t="inlineStr">
        <is>
          <t>ÖSTERGÖTLANDS LÄN</t>
        </is>
      </c>
      <c r="G189" t="inlineStr">
        <is>
          <t>MJÖLBY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32558-2026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46239</v>
      </c>
      <c r="E190" s="1" t="n">
        <v>46270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46270</v>
      </c>
      <c r="F191" t="inlineStr">
        <is>
          <t>ÖSTERGÖTLANDS LÄN</t>
        </is>
      </c>
      <c r="G191" t="inlineStr">
        <is>
          <t>MJÖLBY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46239</v>
      </c>
      <c r="E192" s="1" t="n">
        <v>46270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28131-2026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46195</v>
      </c>
      <c r="E193" s="1" t="n">
        <v>46270</v>
      </c>
      <c r="F193" t="inlineStr">
        <is>
          <t>ÖSTERGÖTLANDS LÄN</t>
        </is>
      </c>
      <c r="G193" t="inlineStr">
        <is>
          <t>MJÖLBY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46239</v>
      </c>
      <c r="E194" s="1" t="n">
        <v>46270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46270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46270</v>
      </c>
      <c r="F196" t="inlineStr">
        <is>
          <t>ÖSTERGÖTLANDS LÄN</t>
        </is>
      </c>
      <c r="G196" t="inlineStr">
        <is>
          <t>MJÖLBY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46270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46244</v>
      </c>
      <c r="E198" s="1" t="n">
        <v>46270</v>
      </c>
      <c r="F198" t="inlineStr">
        <is>
          <t>ÖSTERGÖTLANDS LÄN</t>
        </is>
      </c>
      <c r="G198" t="inlineStr">
        <is>
          <t>MJÖLBY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45020</v>
      </c>
      <c r="E199" s="1" t="n">
        <v>46270</v>
      </c>
      <c r="F199" t="inlineStr">
        <is>
          <t>ÖSTERGÖTLANDS LÄN</t>
        </is>
      </c>
      <c r="G199" t="inlineStr">
        <is>
          <t>MJÖLBY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44546</v>
      </c>
      <c r="E200" s="1" t="n">
        <v>46270</v>
      </c>
      <c r="F200" t="inlineStr">
        <is>
          <t>ÖSTERGÖTLANDS LÄN</t>
        </is>
      </c>
      <c r="G200" t="inlineStr">
        <is>
          <t>MJÖLBY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46270</v>
      </c>
      <c r="F201" t="inlineStr">
        <is>
          <t>ÖSTERGÖTLANDS LÄN</t>
        </is>
      </c>
      <c r="G201" t="inlineStr">
        <is>
          <t>MJÖLBY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79-2024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45293</v>
      </c>
      <c r="E202" s="1" t="n">
        <v>46270</v>
      </c>
      <c r="F202" t="inlineStr">
        <is>
          <t>ÖSTERGÖTLANDS LÄN</t>
        </is>
      </c>
      <c r="G202" t="inlineStr">
        <is>
          <t>MJÖLBY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66977-2021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46270</v>
      </c>
      <c r="F203" t="inlineStr">
        <is>
          <t>ÖSTERGÖTLANDS LÄN</t>
        </is>
      </c>
      <c r="G203" t="inlineStr">
        <is>
          <t>MJÖLBY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46253</v>
      </c>
      <c r="E204" s="1" t="n">
        <v>46270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49566-2021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44455</v>
      </c>
      <c r="E205" s="1" t="n">
        <v>46270</v>
      </c>
      <c r="F205" t="inlineStr">
        <is>
          <t>ÖSTERGÖTLANDS LÄN</t>
        </is>
      </c>
      <c r="G205" t="inlineStr">
        <is>
          <t>MJÖLBY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44659</v>
      </c>
      <c r="E206" s="1" t="n">
        <v>46270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Kyrkan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46270</v>
      </c>
      <c r="F207" t="inlineStr">
        <is>
          <t>ÖSTERGÖTLANDS LÄN</t>
        </is>
      </c>
      <c r="G207" t="inlineStr">
        <is>
          <t>MJÖLBY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45581</v>
      </c>
      <c r="E208" s="1" t="n">
        <v>46270</v>
      </c>
      <c r="F208" t="inlineStr">
        <is>
          <t>ÖSTERGÖTLANDS LÄN</t>
        </is>
      </c>
      <c r="G208" t="inlineStr">
        <is>
          <t>MJÖLBY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45261</v>
      </c>
      <c r="E209" s="1" t="n">
        <v>46270</v>
      </c>
      <c r="F209" t="inlineStr">
        <is>
          <t>ÖSTERGÖTLANDS LÄN</t>
        </is>
      </c>
      <c r="G209" t="inlineStr">
        <is>
          <t>MJÖLBY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46270</v>
      </c>
      <c r="F210" t="inlineStr">
        <is>
          <t>ÖSTERGÖTLANDS LÄN</t>
        </is>
      </c>
      <c r="G210" t="inlineStr">
        <is>
          <t>MJÖLBY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45526</v>
      </c>
      <c r="E211" s="1" t="n">
        <v>46270</v>
      </c>
      <c r="F211" t="inlineStr">
        <is>
          <t>ÖSTERGÖTLANDS LÄN</t>
        </is>
      </c>
      <c r="G211" t="inlineStr">
        <is>
          <t>MJÖLBY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46216</v>
      </c>
      <c r="E212" s="1" t="n">
        <v>46270</v>
      </c>
      <c r="F212" t="inlineStr">
        <is>
          <t>ÖSTERGÖTLANDS LÄN</t>
        </is>
      </c>
      <c r="G212" t="inlineStr">
        <is>
          <t>MJÖLBY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46270</v>
      </c>
      <c r="F213" t="inlineStr">
        <is>
          <t>ÖSTERGÖTLANDS LÄN</t>
        </is>
      </c>
      <c r="G213" t="inlineStr">
        <is>
          <t>MJÖLBY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34794-2026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46258</v>
      </c>
      <c r="E214" s="1" t="n">
        <v>46270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12675-2024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46270</v>
      </c>
      <c r="F215" t="inlineStr">
        <is>
          <t>ÖSTERGÖTLANDS LÄN</t>
        </is>
      </c>
      <c r="G215" t="inlineStr">
        <is>
          <t>MJÖLBY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46258</v>
      </c>
      <c r="E216" s="1" t="n">
        <v>46270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46270</v>
      </c>
      <c r="F217" t="inlineStr">
        <is>
          <t>ÖSTERGÖTLANDS LÄN</t>
        </is>
      </c>
      <c r="G217" t="inlineStr">
        <is>
          <t>MJÖLBY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46270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38278-2024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45545</v>
      </c>
      <c r="E219" s="1" t="n">
        <v>46270</v>
      </c>
      <c r="F219" t="inlineStr">
        <is>
          <t>ÖSTERGÖTLANDS LÄN</t>
        </is>
      </c>
      <c r="G219" t="inlineStr">
        <is>
          <t>MJÖLBY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46270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23114-2025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46270</v>
      </c>
      <c r="F221" t="inlineStr">
        <is>
          <t>ÖSTERGÖTLANDS LÄN</t>
        </is>
      </c>
      <c r="G221" t="inlineStr">
        <is>
          <t>MJÖLBY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31193-2026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46217</v>
      </c>
      <c r="E222" s="1" t="n">
        <v>46270</v>
      </c>
      <c r="F222" t="inlineStr">
        <is>
          <t>ÖSTERGÖTLANDS LÄN</t>
        </is>
      </c>
      <c r="G222" t="inlineStr">
        <is>
          <t>MJÖLBY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45629</v>
      </c>
      <c r="E223" s="1" t="n">
        <v>46270</v>
      </c>
      <c r="F223" t="inlineStr">
        <is>
          <t>ÖSTERGÖTLANDS LÄN</t>
        </is>
      </c>
      <c r="G223" t="inlineStr">
        <is>
          <t>MJÖLBY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45314</v>
      </c>
      <c r="E224" s="1" t="n">
        <v>46270</v>
      </c>
      <c r="F224" t="inlineStr">
        <is>
          <t>ÖSTERGÖTLANDS LÄN</t>
        </is>
      </c>
      <c r="G224" t="inlineStr">
        <is>
          <t>MJÖLBY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46217</v>
      </c>
      <c r="E225" s="1" t="n">
        <v>46270</v>
      </c>
      <c r="F225" t="inlineStr">
        <is>
          <t>ÖSTERGÖTLANDS LÄN</t>
        </is>
      </c>
      <c r="G225" t="inlineStr">
        <is>
          <t>MJÖLBY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44908</v>
      </c>
      <c r="E226" s="1" t="n">
        <v>46270</v>
      </c>
      <c r="F226" t="inlineStr">
        <is>
          <t>ÖSTERGÖTLANDS LÄN</t>
        </is>
      </c>
      <c r="G226" t="inlineStr">
        <is>
          <t>MJÖLBY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46267</v>
      </c>
      <c r="E227" s="1" t="n">
        <v>46270</v>
      </c>
      <c r="F227" t="inlineStr">
        <is>
          <t>ÖSTERGÖTLANDS LÄN</t>
        </is>
      </c>
      <c r="G227" t="inlineStr">
        <is>
          <t>MJÖLBY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36209-2026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46267</v>
      </c>
      <c r="E228" s="1" t="n">
        <v>46270</v>
      </c>
      <c r="F228" t="inlineStr">
        <is>
          <t>ÖSTERGÖTLANDS LÄN</t>
        </is>
      </c>
      <c r="G228" t="inlineStr">
        <is>
          <t>MJÖLBY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46270</v>
      </c>
      <c r="F229" t="inlineStr">
        <is>
          <t>ÖSTERGÖTLANDS LÄN</t>
        </is>
      </c>
      <c r="G229" t="inlineStr">
        <is>
          <t>MJÖLBY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34162-2026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46253</v>
      </c>
      <c r="E230" s="1" t="n">
        <v>46270</v>
      </c>
      <c r="F230" t="inlineStr">
        <is>
          <t>ÖSTERGÖTLANDS LÄN</t>
        </is>
      </c>
      <c r="G230" t="inlineStr">
        <is>
          <t>MJÖLBY</t>
        </is>
      </c>
      <c r="H230" t="inlineStr">
        <is>
          <t>Övriga Aktiebolag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46270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2026-09-05T02:09:13Z</dcterms:created>
  <dcterms:modified xmlns:dcterms="http://purl.org/dc/terms/" xmlns:xsi="http://www.w3.org/2001/XMLSchema-instance" xsi:type="dcterms:W3CDTF">2026-09-05T02:09:13Z</dcterms:modified>
</cp:coreProperties>
</file>