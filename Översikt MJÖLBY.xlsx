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46202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8</v>
      </c>
      <c r="R2" s="2" t="inlineStr">
        <is>
          <t>Hållav
Gransotdyna
Kattfotslav
Tallticka
Ullticka
Vedskivlav
Vedtrappmossa
Flagellkvastmossa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67603-2021</t>
        </is>
      </c>
      <c r="B3" s="1" t="n">
        <v>44524</v>
      </c>
      <c r="C3" s="1" t="n">
        <v>46202</v>
      </c>
      <c r="D3" t="inlineStr">
        <is>
          <t>ÖSTERGÖTLANDS LÄN</t>
        </is>
      </c>
      <c r="E3" t="inlineStr">
        <is>
          <t>MJÖLBY</t>
        </is>
      </c>
      <c r="G3" t="n">
        <v>5.1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Backsippa
Småfruktigt blågryn
Gullfingersvamp
Plattad jordtunga
Svart jordtunga</t>
        </is>
      </c>
      <c r="S3">
        <f>HYPERLINK("https://klasma.github.io/Logging_0586/artfynd/A 67603-2021 artfynd.xlsx", "A 67603-2021")</f>
        <v/>
      </c>
      <c r="T3">
        <f>HYPERLINK("https://klasma.github.io/Logging_0586/kartor/A 67603-2021 karta.png", "A 67603-2021")</f>
        <v/>
      </c>
      <c r="V3">
        <f>HYPERLINK("https://klasma.github.io/Logging_0586/klagomål/A 67603-2021 FSC-klagomål.docx", "A 67603-2021")</f>
        <v/>
      </c>
      <c r="W3">
        <f>HYPERLINK("https://klasma.github.io/Logging_0586/klagomålsmail/A 67603-2021 FSC-klagomål mail.docx", "A 67603-2021")</f>
        <v/>
      </c>
      <c r="X3">
        <f>HYPERLINK("https://klasma.github.io/Logging_0586/tillsyn/A 67603-2021 tillsynsbegäran.docx", "A 67603-2021")</f>
        <v/>
      </c>
      <c r="Y3">
        <f>HYPERLINK("https://klasma.github.io/Logging_0586/tillsynsmail/A 67603-2021 tillsynsbegäran mail.docx", "A 67603-2021")</f>
        <v/>
      </c>
    </row>
    <row r="4" ht="15" customHeight="1">
      <c r="A4" t="inlineStr">
        <is>
          <t>A 23130-2025</t>
        </is>
      </c>
      <c r="B4" s="1" t="n">
        <v>45791</v>
      </c>
      <c r="C4" s="1" t="n">
        <v>46202</v>
      </c>
      <c r="D4" t="inlineStr">
        <is>
          <t>ÖSTERGÖTLANDS LÄN</t>
        </is>
      </c>
      <c r="E4" t="inlineStr">
        <is>
          <t>MJÖLBY</t>
        </is>
      </c>
      <c r="G4" t="n">
        <v>4.2</v>
      </c>
      <c r="H4" t="n">
        <v>1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Backsippa
Axveronika
Flentimotej</t>
        </is>
      </c>
      <c r="S4">
        <f>HYPERLINK("https://klasma.github.io/Logging_0586/artfynd/A 23130-2025 artfynd.xlsx", "A 23130-2025")</f>
        <v/>
      </c>
      <c r="T4">
        <f>HYPERLINK("https://klasma.github.io/Logging_0586/kartor/A 23130-2025 karta.png", "A 23130-2025")</f>
        <v/>
      </c>
      <c r="V4">
        <f>HYPERLINK("https://klasma.github.io/Logging_0586/klagomål/A 23130-2025 FSC-klagomål.docx", "A 23130-2025")</f>
        <v/>
      </c>
      <c r="W4">
        <f>HYPERLINK("https://klasma.github.io/Logging_0586/klagomålsmail/A 23130-2025 FSC-klagomål mail.docx", "A 23130-2025")</f>
        <v/>
      </c>
      <c r="X4">
        <f>HYPERLINK("https://klasma.github.io/Logging_0586/tillsyn/A 23130-2025 tillsynsbegäran.docx", "A 23130-2025")</f>
        <v/>
      </c>
      <c r="Y4">
        <f>HYPERLINK("https://klasma.github.io/Logging_0586/tillsynsmail/A 23130-2025 tillsynsbegäran mail.docx", "A 23130-2025")</f>
        <v/>
      </c>
    </row>
    <row r="5" ht="15" customHeight="1">
      <c r="A5" t="inlineStr">
        <is>
          <t>A 22327-2024</t>
        </is>
      </c>
      <c r="B5" s="1" t="n">
        <v>45446</v>
      </c>
      <c r="C5" s="1" t="n">
        <v>46202</v>
      </c>
      <c r="D5" t="inlineStr">
        <is>
          <t>ÖSTERGÖTLANDS LÄN</t>
        </is>
      </c>
      <c r="E5" t="inlineStr">
        <is>
          <t>MJÖLBY</t>
        </is>
      </c>
      <c r="G5" t="n">
        <v>1.8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HYPERLINK("https://klasma.github.io/Logging_0586/artfynd/A 22327-2024 artfynd.xlsx", "A 22327-2024")</f>
        <v/>
      </c>
      <c r="T5">
        <f>HYPERLINK("https://klasma.github.io/Logging_0586/kartor/A 22327-2024 karta.png", "A 22327-2024")</f>
        <v/>
      </c>
      <c r="V5">
        <f>HYPERLINK("https://klasma.github.io/Logging_0586/klagomål/A 22327-2024 FSC-klagomål.docx", "A 22327-2024")</f>
        <v/>
      </c>
      <c r="W5">
        <f>HYPERLINK("https://klasma.github.io/Logging_0586/klagomålsmail/A 22327-2024 FSC-klagomål mail.docx", "A 22327-2024")</f>
        <v/>
      </c>
      <c r="X5">
        <f>HYPERLINK("https://klasma.github.io/Logging_0586/tillsyn/A 22327-2024 tillsynsbegäran.docx", "A 22327-2024")</f>
        <v/>
      </c>
      <c r="Y5">
        <f>HYPERLINK("https://klasma.github.io/Logging_0586/tillsynsmail/A 22327-2024 tillsynsbegäran mail.docx", "A 22327-2024")</f>
        <v/>
      </c>
    </row>
    <row r="6" ht="15" customHeight="1">
      <c r="A6" t="inlineStr">
        <is>
          <t>A 13567-2025</t>
        </is>
      </c>
      <c r="B6" s="1" t="n">
        <v>45736</v>
      </c>
      <c r="C6" s="1" t="n">
        <v>46202</v>
      </c>
      <c r="D6" t="inlineStr">
        <is>
          <t>ÖSTERGÖTLANDS LÄN</t>
        </is>
      </c>
      <c r="E6" t="inlineStr">
        <is>
          <t>MJÖLBY</t>
        </is>
      </c>
      <c r="G6" t="n">
        <v>4.1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Klubbsprötad bastardsvärmare</t>
        </is>
      </c>
      <c r="S6">
        <f>HYPERLINK("https://klasma.github.io/Logging_0586/artfynd/A 13567-2025 artfynd.xlsx", "A 13567-2025")</f>
        <v/>
      </c>
      <c r="T6">
        <f>HYPERLINK("https://klasma.github.io/Logging_0586/kartor/A 13567-2025 karta.png", "A 13567-2025")</f>
        <v/>
      </c>
      <c r="V6">
        <f>HYPERLINK("https://klasma.github.io/Logging_0586/klagomål/A 13567-2025 FSC-klagomål.docx", "A 13567-2025")</f>
        <v/>
      </c>
      <c r="W6">
        <f>HYPERLINK("https://klasma.github.io/Logging_0586/klagomålsmail/A 13567-2025 FSC-klagomål mail.docx", "A 13567-2025")</f>
        <v/>
      </c>
      <c r="X6">
        <f>HYPERLINK("https://klasma.github.io/Logging_0586/tillsyn/A 13567-2025 tillsynsbegäran.docx", "A 13567-2025")</f>
        <v/>
      </c>
      <c r="Y6">
        <f>HYPERLINK("https://klasma.github.io/Logging_0586/tillsynsmail/A 13567-2025 tillsynsbegäran mail.docx", "A 13567-2025")</f>
        <v/>
      </c>
    </row>
    <row r="7" ht="15" customHeight="1">
      <c r="A7" t="inlineStr">
        <is>
          <t>A 45164-2023</t>
        </is>
      </c>
      <c r="B7" s="1" t="n">
        <v>45191</v>
      </c>
      <c r="C7" s="1" t="n">
        <v>46202</v>
      </c>
      <c r="D7" t="inlineStr">
        <is>
          <t>ÖSTERGÖTLANDS LÄN</t>
        </is>
      </c>
      <c r="E7" t="inlineStr">
        <is>
          <t>MJÖLBY</t>
        </is>
      </c>
      <c r="G7" t="n">
        <v>0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Skogsduva</t>
        </is>
      </c>
      <c r="S7">
        <f>HYPERLINK("https://klasma.github.io/Logging_0586/artfynd/A 45164-2023 artfynd.xlsx", "A 45164-2023")</f>
        <v/>
      </c>
      <c r="T7">
        <f>HYPERLINK("https://klasma.github.io/Logging_0586/kartor/A 45164-2023 karta.png", "A 45164-2023")</f>
        <v/>
      </c>
      <c r="V7">
        <f>HYPERLINK("https://klasma.github.io/Logging_0586/klagomål/A 45164-2023 FSC-klagomål.docx", "A 45164-2023")</f>
        <v/>
      </c>
      <c r="W7">
        <f>HYPERLINK("https://klasma.github.io/Logging_0586/klagomålsmail/A 45164-2023 FSC-klagomål mail.docx", "A 45164-2023")</f>
        <v/>
      </c>
      <c r="X7">
        <f>HYPERLINK("https://klasma.github.io/Logging_0586/tillsyn/A 45164-2023 tillsynsbegäran.docx", "A 45164-2023")</f>
        <v/>
      </c>
      <c r="Y7">
        <f>HYPERLINK("https://klasma.github.io/Logging_0586/tillsynsmail/A 45164-2023 tillsynsbegäran mail.docx", "A 45164-2023")</f>
        <v/>
      </c>
    </row>
    <row r="8" ht="15" customHeight="1">
      <c r="A8" t="inlineStr">
        <is>
          <t>A 60983-2023</t>
        </is>
      </c>
      <c r="B8" s="1" t="n">
        <v>45261</v>
      </c>
      <c r="C8" s="1" t="n">
        <v>46202</v>
      </c>
      <c r="D8" t="inlineStr">
        <is>
          <t>ÖSTERGÖTLANDS LÄN</t>
        </is>
      </c>
      <c r="E8" t="inlineStr">
        <is>
          <t>MJÖLBY</t>
        </is>
      </c>
      <c r="G8" t="n">
        <v>3.8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HYPERLINK("https://klasma.github.io/Logging_0586/artfynd/A 60983-2023 artfynd.xlsx", "A 60983-2023")</f>
        <v/>
      </c>
      <c r="T8">
        <f>HYPERLINK("https://klasma.github.io/Logging_0586/kartor/A 60983-2023 karta.png", "A 60983-2023")</f>
        <v/>
      </c>
      <c r="V8">
        <f>HYPERLINK("https://klasma.github.io/Logging_0586/klagomål/A 60983-2023 FSC-klagomål.docx", "A 60983-2023")</f>
        <v/>
      </c>
      <c r="W8">
        <f>HYPERLINK("https://klasma.github.io/Logging_0586/klagomålsmail/A 60983-2023 FSC-klagomål mail.docx", "A 60983-2023")</f>
        <v/>
      </c>
      <c r="X8">
        <f>HYPERLINK("https://klasma.github.io/Logging_0586/tillsyn/A 60983-2023 tillsynsbegäran.docx", "A 60983-2023")</f>
        <v/>
      </c>
      <c r="Y8">
        <f>HYPERLINK("https://klasma.github.io/Logging_0586/tillsynsmail/A 60983-2023 tillsynsbegäran mail.docx", "A 60983-2023")</f>
        <v/>
      </c>
    </row>
    <row r="9" ht="15" customHeight="1">
      <c r="A9" t="inlineStr">
        <is>
          <t>A 44468-2021</t>
        </is>
      </c>
      <c r="B9" s="1" t="n">
        <v>44435</v>
      </c>
      <c r="C9" s="1" t="n">
        <v>46202</v>
      </c>
      <c r="D9" t="inlineStr">
        <is>
          <t>ÖSTERGÖTLANDS LÄN</t>
        </is>
      </c>
      <c r="E9" t="inlineStr">
        <is>
          <t>MJÖLBY</t>
        </is>
      </c>
      <c r="F9" t="inlineStr">
        <is>
          <t>Kommuner</t>
        </is>
      </c>
      <c r="G9" t="n">
        <v>3.5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HYPERLINK("https://klasma.github.io/Logging_0586/artfynd/A 44468-2021 artfynd.xlsx", "A 44468-2021")</f>
        <v/>
      </c>
      <c r="T9">
        <f>HYPERLINK("https://klasma.github.io/Logging_0586/kartor/A 44468-2021 karta.png", "A 44468-2021")</f>
        <v/>
      </c>
      <c r="V9">
        <f>HYPERLINK("https://klasma.github.io/Logging_0586/klagomål/A 44468-2021 FSC-klagomål.docx", "A 44468-2021")</f>
        <v/>
      </c>
      <c r="W9">
        <f>HYPERLINK("https://klasma.github.io/Logging_0586/klagomålsmail/A 44468-2021 FSC-klagomål mail.docx", "A 44468-2021")</f>
        <v/>
      </c>
      <c r="X9">
        <f>HYPERLINK("https://klasma.github.io/Logging_0586/tillsyn/A 44468-2021 tillsynsbegäran.docx", "A 44468-2021")</f>
        <v/>
      </c>
      <c r="Y9">
        <f>HYPERLINK("https://klasma.github.io/Logging_0586/tillsynsmail/A 44468-2021 tillsynsbegäran mail.docx", "A 44468-2021")</f>
        <v/>
      </c>
    </row>
    <row r="10" ht="15" customHeight="1">
      <c r="A10" t="inlineStr">
        <is>
          <t>A 50403-2022</t>
        </is>
      </c>
      <c r="B10" s="1" t="n">
        <v>44866</v>
      </c>
      <c r="C10" s="1" t="n">
        <v>46202</v>
      </c>
      <c r="D10" t="inlineStr">
        <is>
          <t>ÖSTERGÖTLANDS LÄN</t>
        </is>
      </c>
      <c r="E10" t="inlineStr">
        <is>
          <t>MJÖLBY</t>
        </is>
      </c>
      <c r="F10" t="inlineStr">
        <is>
          <t>Sveaskog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Springkorn</t>
        </is>
      </c>
      <c r="S10">
        <f>HYPERLINK("https://klasma.github.io/Logging_0586/artfynd/A 50403-2022 artfynd.xlsx", "A 50403-2022")</f>
        <v/>
      </c>
      <c r="T10">
        <f>HYPERLINK("https://klasma.github.io/Logging_0586/kartor/A 50403-2022 karta.png", "A 50403-2022")</f>
        <v/>
      </c>
      <c r="V10">
        <f>HYPERLINK("https://klasma.github.io/Logging_0586/klagomål/A 50403-2022 FSC-klagomål.docx", "A 50403-2022")</f>
        <v/>
      </c>
      <c r="W10">
        <f>HYPERLINK("https://klasma.github.io/Logging_0586/klagomålsmail/A 50403-2022 FSC-klagomål mail.docx", "A 50403-2022")</f>
        <v/>
      </c>
      <c r="X10">
        <f>HYPERLINK("https://klasma.github.io/Logging_0586/tillsyn/A 50403-2022 tillsynsbegäran.docx", "A 50403-2022")</f>
        <v/>
      </c>
      <c r="Y10">
        <f>HYPERLINK("https://klasma.github.io/Logging_0586/tillsynsmail/A 50403-2022 tillsynsbegäran mail.docx", "A 50403-2022")</f>
        <v/>
      </c>
    </row>
    <row r="11" ht="15" customHeight="1">
      <c r="A11" t="inlineStr">
        <is>
          <t>A 9030-2022</t>
        </is>
      </c>
      <c r="B11" s="1" t="n">
        <v>44615</v>
      </c>
      <c r="C11" s="1" t="n">
        <v>46202</v>
      </c>
      <c r="D11" t="inlineStr">
        <is>
          <t>ÖSTERGÖTLANDS LÄN</t>
        </is>
      </c>
      <c r="E11" t="inlineStr">
        <is>
          <t>MJÖLBY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Skogsalm</t>
        </is>
      </c>
      <c r="S11">
        <f>HYPERLINK("https://klasma.github.io/Logging_0586/artfynd/A 9030-2022 artfynd.xlsx", "A 9030-2022")</f>
        <v/>
      </c>
      <c r="T11">
        <f>HYPERLINK("https://klasma.github.io/Logging_0586/kartor/A 9030-2022 karta.png", "A 9030-2022")</f>
        <v/>
      </c>
      <c r="V11">
        <f>HYPERLINK("https://klasma.github.io/Logging_0586/klagomål/A 9030-2022 FSC-klagomål.docx", "A 9030-2022")</f>
        <v/>
      </c>
      <c r="W11">
        <f>HYPERLINK("https://klasma.github.io/Logging_0586/klagomålsmail/A 9030-2022 FSC-klagomål mail.docx", "A 9030-2022")</f>
        <v/>
      </c>
      <c r="X11">
        <f>HYPERLINK("https://klasma.github.io/Logging_0586/tillsyn/A 9030-2022 tillsynsbegäran.docx", "A 9030-2022")</f>
        <v/>
      </c>
      <c r="Y11">
        <f>HYPERLINK("https://klasma.github.io/Logging_0586/tillsynsmail/A 9030-2022 tillsynsbegäran mail.docx", "A 9030-2022")</f>
        <v/>
      </c>
    </row>
    <row r="12" ht="15" customHeight="1">
      <c r="A12" t="inlineStr">
        <is>
          <t>A 33532-2024</t>
        </is>
      </c>
      <c r="B12" s="1" t="n">
        <v>45519</v>
      </c>
      <c r="C12" s="1" t="n">
        <v>46202</v>
      </c>
      <c r="D12" t="inlineStr">
        <is>
          <t>ÖSTERGÖTLANDS LÄN</t>
        </is>
      </c>
      <c r="E12" t="inlineStr">
        <is>
          <t>MJÖLBY</t>
        </is>
      </c>
      <c r="G12" t="n">
        <v>1.5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Backsippa</t>
        </is>
      </c>
      <c r="S12">
        <f>HYPERLINK("https://klasma.github.io/Logging_0586/artfynd/A 33532-2024 artfynd.xlsx", "A 33532-2024")</f>
        <v/>
      </c>
      <c r="T12">
        <f>HYPERLINK("https://klasma.github.io/Logging_0586/kartor/A 33532-2024 karta.png", "A 33532-2024")</f>
        <v/>
      </c>
      <c r="V12">
        <f>HYPERLINK("https://klasma.github.io/Logging_0586/klagomål/A 33532-2024 FSC-klagomål.docx", "A 33532-2024")</f>
        <v/>
      </c>
      <c r="W12">
        <f>HYPERLINK("https://klasma.github.io/Logging_0586/klagomålsmail/A 33532-2024 FSC-klagomål mail.docx", "A 33532-2024")</f>
        <v/>
      </c>
      <c r="X12">
        <f>HYPERLINK("https://klasma.github.io/Logging_0586/tillsyn/A 33532-2024 tillsynsbegäran.docx", "A 33532-2024")</f>
        <v/>
      </c>
      <c r="Y12">
        <f>HYPERLINK("https://klasma.github.io/Logging_0586/tillsynsmail/A 33532-2024 tillsynsbegäran mail.docx", "A 33532-2024")</f>
        <v/>
      </c>
    </row>
    <row r="13" ht="15" customHeight="1">
      <c r="A13" t="inlineStr">
        <is>
          <t>A 7564-2025</t>
        </is>
      </c>
      <c r="B13" s="1" t="n">
        <v>45705</v>
      </c>
      <c r="C13" s="1" t="n">
        <v>46202</v>
      </c>
      <c r="D13" t="inlineStr">
        <is>
          <t>ÖSTERGÖTLANDS LÄN</t>
        </is>
      </c>
      <c r="E13" t="inlineStr">
        <is>
          <t>MJÖLBY</t>
        </is>
      </c>
      <c r="G13" t="n">
        <v>1.1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Solvända</t>
        </is>
      </c>
      <c r="S13">
        <f>HYPERLINK("https://klasma.github.io/Logging_0586/artfynd/A 7564-2025 artfynd.xlsx", "A 7564-2025")</f>
        <v/>
      </c>
      <c r="T13">
        <f>HYPERLINK("https://klasma.github.io/Logging_0586/kartor/A 7564-2025 karta.png", "A 7564-2025")</f>
        <v/>
      </c>
      <c r="V13">
        <f>HYPERLINK("https://klasma.github.io/Logging_0586/klagomål/A 7564-2025 FSC-klagomål.docx", "A 7564-2025")</f>
        <v/>
      </c>
      <c r="W13">
        <f>HYPERLINK("https://klasma.github.io/Logging_0586/klagomålsmail/A 7564-2025 FSC-klagomål mail.docx", "A 7564-2025")</f>
        <v/>
      </c>
      <c r="X13">
        <f>HYPERLINK("https://klasma.github.io/Logging_0586/tillsyn/A 7564-2025 tillsynsbegäran.docx", "A 7564-2025")</f>
        <v/>
      </c>
      <c r="Y13">
        <f>HYPERLINK("https://klasma.github.io/Logging_0586/tillsynsmail/A 7564-2025 tillsynsbegäran mail.docx", "A 7564-2025")</f>
        <v/>
      </c>
    </row>
    <row r="14" ht="15" customHeight="1">
      <c r="A14" t="inlineStr">
        <is>
          <t>A 53521-2023</t>
        </is>
      </c>
      <c r="B14" s="1" t="n">
        <v>45230</v>
      </c>
      <c r="C14" s="1" t="n">
        <v>46202</v>
      </c>
      <c r="D14" t="inlineStr">
        <is>
          <t>ÖSTERGÖTLANDS LÄN</t>
        </is>
      </c>
      <c r="E14" t="inlineStr">
        <is>
          <t>MJÖLBY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Skogsduva</t>
        </is>
      </c>
      <c r="S14">
        <f>HYPERLINK("https://klasma.github.io/Logging_0586/artfynd/A 53521-2023 artfynd.xlsx", "A 53521-2023")</f>
        <v/>
      </c>
      <c r="T14">
        <f>HYPERLINK("https://klasma.github.io/Logging_0586/kartor/A 53521-2023 karta.png", "A 53521-2023")</f>
        <v/>
      </c>
      <c r="V14">
        <f>HYPERLINK("https://klasma.github.io/Logging_0586/klagomål/A 53521-2023 FSC-klagomål.docx", "A 53521-2023")</f>
        <v/>
      </c>
      <c r="W14">
        <f>HYPERLINK("https://klasma.github.io/Logging_0586/klagomålsmail/A 53521-2023 FSC-klagomål mail.docx", "A 53521-2023")</f>
        <v/>
      </c>
      <c r="X14">
        <f>HYPERLINK("https://klasma.github.io/Logging_0586/tillsyn/A 53521-2023 tillsynsbegäran.docx", "A 53521-2023")</f>
        <v/>
      </c>
      <c r="Y14">
        <f>HYPERLINK("https://klasma.github.io/Logging_0586/tillsynsmail/A 53521-2023 tillsynsbegäran mail.docx", "A 53521-2023")</f>
        <v/>
      </c>
    </row>
    <row r="15" ht="15" customHeight="1">
      <c r="A15" t="inlineStr">
        <is>
          <t>A 2230-2025</t>
        </is>
      </c>
      <c r="B15" s="1" t="n">
        <v>45673</v>
      </c>
      <c r="C15" s="1" t="n">
        <v>46202</v>
      </c>
      <c r="D15" t="inlineStr">
        <is>
          <t>ÖSTERGÖTLANDS LÄN</t>
        </is>
      </c>
      <c r="E15" t="inlineStr">
        <is>
          <t>MJÖLBY</t>
        </is>
      </c>
      <c r="G15" t="n">
        <v>1.6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HYPERLINK("https://klasma.github.io/Logging_0586/artfynd/A 2230-2025 artfynd.xlsx", "A 2230-2025")</f>
        <v/>
      </c>
      <c r="T15">
        <f>HYPERLINK("https://klasma.github.io/Logging_0586/kartor/A 2230-2025 karta.png", "A 2230-2025")</f>
        <v/>
      </c>
      <c r="V15">
        <f>HYPERLINK("https://klasma.github.io/Logging_0586/klagomål/A 2230-2025 FSC-klagomål.docx", "A 2230-2025")</f>
        <v/>
      </c>
      <c r="W15">
        <f>HYPERLINK("https://klasma.github.io/Logging_0586/klagomålsmail/A 2230-2025 FSC-klagomål mail.docx", "A 2230-2025")</f>
        <v/>
      </c>
      <c r="X15">
        <f>HYPERLINK("https://klasma.github.io/Logging_0586/tillsyn/A 2230-2025 tillsynsbegäran.docx", "A 2230-2025")</f>
        <v/>
      </c>
      <c r="Y15">
        <f>HYPERLINK("https://klasma.github.io/Logging_0586/tillsynsmail/A 2230-2025 tillsynsbegäran mail.docx", "A 2230-2025")</f>
        <v/>
      </c>
    </row>
    <row r="16" ht="15" customHeight="1">
      <c r="A16" t="inlineStr">
        <is>
          <t>A 41274-2025</t>
        </is>
      </c>
      <c r="B16" s="1" t="n">
        <v>45898</v>
      </c>
      <c r="C16" s="1" t="n">
        <v>46202</v>
      </c>
      <c r="D16" t="inlineStr">
        <is>
          <t>ÖSTERGÖTLANDS LÄN</t>
        </is>
      </c>
      <c r="E16" t="inlineStr">
        <is>
          <t>MJÖLBY</t>
        </is>
      </c>
      <c r="G16" t="n">
        <v>2.9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Igelkott</t>
        </is>
      </c>
      <c r="S16">
        <f>HYPERLINK("https://klasma.github.io/Logging_0586/artfynd/A 41274-2025 artfynd.xlsx", "A 41274-2025")</f>
        <v/>
      </c>
      <c r="T16">
        <f>HYPERLINK("https://klasma.github.io/Logging_0586/kartor/A 41274-2025 karta.png", "A 41274-2025")</f>
        <v/>
      </c>
      <c r="V16">
        <f>HYPERLINK("https://klasma.github.io/Logging_0586/klagomål/A 41274-2025 FSC-klagomål.docx", "A 41274-2025")</f>
        <v/>
      </c>
      <c r="W16">
        <f>HYPERLINK("https://klasma.github.io/Logging_0586/klagomålsmail/A 41274-2025 FSC-klagomål mail.docx", "A 41274-2025")</f>
        <v/>
      </c>
      <c r="X16">
        <f>HYPERLINK("https://klasma.github.io/Logging_0586/tillsyn/A 41274-2025 tillsynsbegäran.docx", "A 41274-2025")</f>
        <v/>
      </c>
      <c r="Y16">
        <f>HYPERLINK("https://klasma.github.io/Logging_0586/tillsynsmail/A 41274-2025 tillsynsbegäran mail.docx", "A 41274-2025")</f>
        <v/>
      </c>
    </row>
    <row r="17" ht="15" customHeight="1">
      <c r="A17" t="inlineStr">
        <is>
          <t>A 46156-2025</t>
        </is>
      </c>
      <c r="B17" s="1" t="n">
        <v>45924</v>
      </c>
      <c r="C17" s="1" t="n">
        <v>46202</v>
      </c>
      <c r="D17" t="inlineStr">
        <is>
          <t>ÖSTERGÖTLANDS LÄN</t>
        </is>
      </c>
      <c r="E17" t="inlineStr">
        <is>
          <t>MJÖLBY</t>
        </is>
      </c>
      <c r="G17" t="n">
        <v>3.7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Tvåblad</t>
        </is>
      </c>
      <c r="S17">
        <f>HYPERLINK("https://klasma.github.io/Logging_0586/artfynd/A 46156-2025 artfynd.xlsx", "A 46156-2025")</f>
        <v/>
      </c>
      <c r="T17">
        <f>HYPERLINK("https://klasma.github.io/Logging_0586/kartor/A 46156-2025 karta.png", "A 46156-2025")</f>
        <v/>
      </c>
      <c r="V17">
        <f>HYPERLINK("https://klasma.github.io/Logging_0586/klagomål/A 46156-2025 FSC-klagomål.docx", "A 46156-2025")</f>
        <v/>
      </c>
      <c r="W17">
        <f>HYPERLINK("https://klasma.github.io/Logging_0586/klagomålsmail/A 46156-2025 FSC-klagomål mail.docx", "A 46156-2025")</f>
        <v/>
      </c>
      <c r="X17">
        <f>HYPERLINK("https://klasma.github.io/Logging_0586/tillsyn/A 46156-2025 tillsynsbegäran.docx", "A 46156-2025")</f>
        <v/>
      </c>
      <c r="Y17">
        <f>HYPERLINK("https://klasma.github.io/Logging_0586/tillsynsmail/A 46156-2025 tillsynsbegäran mail.docx", "A 46156-2025")</f>
        <v/>
      </c>
    </row>
    <row r="18" ht="15" customHeight="1">
      <c r="A18" t="inlineStr">
        <is>
          <t>A 46123-2025</t>
        </is>
      </c>
      <c r="B18" s="1" t="n">
        <v>45924</v>
      </c>
      <c r="C18" s="1" t="n">
        <v>46202</v>
      </c>
      <c r="D18" t="inlineStr">
        <is>
          <t>ÖSTERGÖTLANDS LÄN</t>
        </is>
      </c>
      <c r="E18" t="inlineStr">
        <is>
          <t>MJÖLBY</t>
        </is>
      </c>
      <c r="G18" t="n">
        <v>5.6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HYPERLINK("https://klasma.github.io/Logging_0586/artfynd/A 46123-2025 artfynd.xlsx", "A 46123-2025")</f>
        <v/>
      </c>
      <c r="T18">
        <f>HYPERLINK("https://klasma.github.io/Logging_0586/kartor/A 46123-2025 karta.png", "A 46123-2025")</f>
        <v/>
      </c>
      <c r="U18">
        <f>HYPERLINK("https://klasma.github.io/Logging_0586/knärot/A 46123-2025 karta knärot.png", "A 46123-2025")</f>
        <v/>
      </c>
      <c r="V18">
        <f>HYPERLINK("https://klasma.github.io/Logging_0586/klagomål/A 46123-2025 FSC-klagomål.docx", "A 46123-2025")</f>
        <v/>
      </c>
      <c r="W18">
        <f>HYPERLINK("https://klasma.github.io/Logging_0586/klagomålsmail/A 46123-2025 FSC-klagomål mail.docx", "A 46123-2025")</f>
        <v/>
      </c>
      <c r="X18">
        <f>HYPERLINK("https://klasma.github.io/Logging_0586/tillsyn/A 46123-2025 tillsynsbegäran.docx", "A 46123-2025")</f>
        <v/>
      </c>
      <c r="Y18">
        <f>HYPERLINK("https://klasma.github.io/Logging_0586/tillsynsmail/A 46123-2025 tillsynsbegäran mail.docx", "A 46123-2025")</f>
        <v/>
      </c>
    </row>
    <row r="19" ht="15" customHeight="1">
      <c r="A19" t="inlineStr">
        <is>
          <t>A 46522-2025</t>
        </is>
      </c>
      <c r="B19" s="1" t="n">
        <v>45926</v>
      </c>
      <c r="C19" s="1" t="n">
        <v>46202</v>
      </c>
      <c r="D19" t="inlineStr">
        <is>
          <t>ÖSTERGÖTLANDS LÄN</t>
        </is>
      </c>
      <c r="E19" t="inlineStr">
        <is>
          <t>MJÖLBY</t>
        </is>
      </c>
      <c r="F19" t="inlineStr">
        <is>
          <t>Sveaskog</t>
        </is>
      </c>
      <c r="G19" t="n">
        <v>1.2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HYPERLINK("https://klasma.github.io/Logging_0586/artfynd/A 46522-2025 artfynd.xlsx", "A 46522-2025")</f>
        <v/>
      </c>
      <c r="T19">
        <f>HYPERLINK("https://klasma.github.io/Logging_0586/kartor/A 46522-2025 karta.png", "A 46522-2025")</f>
        <v/>
      </c>
      <c r="V19">
        <f>HYPERLINK("https://klasma.github.io/Logging_0586/klagomål/A 46522-2025 FSC-klagomål.docx", "A 46522-2025")</f>
        <v/>
      </c>
      <c r="W19">
        <f>HYPERLINK("https://klasma.github.io/Logging_0586/klagomålsmail/A 46522-2025 FSC-klagomål mail.docx", "A 46522-2025")</f>
        <v/>
      </c>
      <c r="X19">
        <f>HYPERLINK("https://klasma.github.io/Logging_0586/tillsyn/A 46522-2025 tillsynsbegäran.docx", "A 46522-2025")</f>
        <v/>
      </c>
      <c r="Y19">
        <f>HYPERLINK("https://klasma.github.io/Logging_0586/tillsynsmail/A 46522-2025 tillsynsbegäran mail.docx", "A 46522-2025")</f>
        <v/>
      </c>
    </row>
    <row r="20" ht="15" customHeight="1">
      <c r="A20" t="inlineStr">
        <is>
          <t>A 54444-2021</t>
        </is>
      </c>
      <c r="B20" s="1" t="n">
        <v>44473</v>
      </c>
      <c r="C20" s="1" t="n">
        <v>46202</v>
      </c>
      <c r="D20" t="inlineStr">
        <is>
          <t>ÖSTERGÖTLANDS LÄN</t>
        </is>
      </c>
      <c r="E20" t="inlineStr">
        <is>
          <t>MJÖLBY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Ängshök</t>
        </is>
      </c>
      <c r="S20">
        <f>HYPERLINK("https://klasma.github.io/Logging_0586/artfynd/A 54444-2021 artfynd.xlsx", "A 54444-2021")</f>
        <v/>
      </c>
      <c r="T20">
        <f>HYPERLINK("https://klasma.github.io/Logging_0586/kartor/A 54444-2021 karta.png", "A 54444-2021")</f>
        <v/>
      </c>
      <c r="V20">
        <f>HYPERLINK("https://klasma.github.io/Logging_0586/klagomål/A 54444-2021 FSC-klagomål.docx", "A 54444-2021")</f>
        <v/>
      </c>
      <c r="W20">
        <f>HYPERLINK("https://klasma.github.io/Logging_0586/klagomålsmail/A 54444-2021 FSC-klagomål mail.docx", "A 54444-2021")</f>
        <v/>
      </c>
      <c r="X20">
        <f>HYPERLINK("https://klasma.github.io/Logging_0586/tillsyn/A 54444-2021 tillsynsbegäran.docx", "A 54444-2021")</f>
        <v/>
      </c>
      <c r="Y20">
        <f>HYPERLINK("https://klasma.github.io/Logging_0586/tillsynsmail/A 54444-2021 tillsynsbegäran mail.docx", "A 54444-2021")</f>
        <v/>
      </c>
    </row>
    <row r="21" ht="15" customHeight="1">
      <c r="A21" t="inlineStr">
        <is>
          <t>A 62852-2025</t>
        </is>
      </c>
      <c r="B21" s="1" t="n">
        <v>46008</v>
      </c>
      <c r="C21" s="1" t="n">
        <v>46202</v>
      </c>
      <c r="D21" t="inlineStr">
        <is>
          <t>ÖSTERGÖTLANDS LÄN</t>
        </is>
      </c>
      <c r="E21" t="inlineStr">
        <is>
          <t>MJÖLBY</t>
        </is>
      </c>
      <c r="F21" t="inlineStr">
        <is>
          <t>Kyrkan</t>
        </is>
      </c>
      <c r="G21" t="n">
        <v>3.1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HYPERLINK("https://klasma.github.io/Logging_0586/artfynd/A 62852-2025 artfynd.xlsx", "A 62852-2025")</f>
        <v/>
      </c>
      <c r="T21">
        <f>HYPERLINK("https://klasma.github.io/Logging_0586/kartor/A 62852-2025 karta.png", "A 62852-2025")</f>
        <v/>
      </c>
      <c r="V21">
        <f>HYPERLINK("https://klasma.github.io/Logging_0586/klagomål/A 62852-2025 FSC-klagomål.docx", "A 62852-2025")</f>
        <v/>
      </c>
      <c r="W21">
        <f>HYPERLINK("https://klasma.github.io/Logging_0586/klagomålsmail/A 62852-2025 FSC-klagomål mail.docx", "A 62852-2025")</f>
        <v/>
      </c>
      <c r="X21">
        <f>HYPERLINK("https://klasma.github.io/Logging_0586/tillsyn/A 62852-2025 tillsynsbegäran.docx", "A 62852-2025")</f>
        <v/>
      </c>
      <c r="Y21">
        <f>HYPERLINK("https://klasma.github.io/Logging_0586/tillsynsmail/A 62852-2025 tillsynsbegäran mail.docx", "A 62852-2025")</f>
        <v/>
      </c>
    </row>
    <row r="22" ht="15" customHeight="1">
      <c r="A22" t="inlineStr">
        <is>
          <t>A 51642-2021</t>
        </is>
      </c>
      <c r="B22" s="1" t="n">
        <v>44462</v>
      </c>
      <c r="C22" s="1" t="n">
        <v>46202</v>
      </c>
      <c r="D22" t="inlineStr">
        <is>
          <t>ÖSTERGÖTLANDS LÄN</t>
        </is>
      </c>
      <c r="E22" t="inlineStr">
        <is>
          <t>MJÖLBY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Vårstarr</t>
        </is>
      </c>
      <c r="S22">
        <f>HYPERLINK("https://klasma.github.io/Logging_0586/artfynd/A 51642-2021 artfynd.xlsx", "A 51642-2021")</f>
        <v/>
      </c>
      <c r="T22">
        <f>HYPERLINK("https://klasma.github.io/Logging_0586/kartor/A 51642-2021 karta.png", "A 51642-2021")</f>
        <v/>
      </c>
      <c r="V22">
        <f>HYPERLINK("https://klasma.github.io/Logging_0586/klagomål/A 51642-2021 FSC-klagomål.docx", "A 51642-2021")</f>
        <v/>
      </c>
      <c r="W22">
        <f>HYPERLINK("https://klasma.github.io/Logging_0586/klagomålsmail/A 51642-2021 FSC-klagomål mail.docx", "A 51642-2021")</f>
        <v/>
      </c>
      <c r="X22">
        <f>HYPERLINK("https://klasma.github.io/Logging_0586/tillsyn/A 51642-2021 tillsynsbegäran.docx", "A 51642-2021")</f>
        <v/>
      </c>
      <c r="Y22">
        <f>HYPERLINK("https://klasma.github.io/Logging_0586/tillsynsmail/A 51642-2021 tillsynsbegäran mail.docx", "A 51642-2021")</f>
        <v/>
      </c>
    </row>
    <row r="23" ht="15" customHeight="1">
      <c r="A23" t="inlineStr">
        <is>
          <t>A 51642-2021</t>
        </is>
      </c>
      <c r="B23" s="1" t="n">
        <v>44462</v>
      </c>
      <c r="C23" s="1" t="n">
        <v>46202</v>
      </c>
      <c r="D23" t="inlineStr">
        <is>
          <t>ÖSTERGÖTLANDS LÄN</t>
        </is>
      </c>
      <c r="E23" t="inlineStr">
        <is>
          <t>MJÖLBY</t>
        </is>
      </c>
      <c r="G23" t="n">
        <v>2.9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Vårstarr</t>
        </is>
      </c>
      <c r="S23">
        <f>HYPERLINK("https://klasma.github.io/Logging_0586/artfynd/A 51642-2021 artfynd.xlsx", "A 51642-2021")</f>
        <v/>
      </c>
      <c r="T23">
        <f>HYPERLINK("https://klasma.github.io/Logging_0586/kartor/A 51642-2021 karta.png", "A 51642-2021")</f>
        <v/>
      </c>
      <c r="V23">
        <f>HYPERLINK("https://klasma.github.io/Logging_0586/klagomål/A 51642-2021 FSC-klagomål.docx", "A 51642-2021")</f>
        <v/>
      </c>
      <c r="W23">
        <f>HYPERLINK("https://klasma.github.io/Logging_0586/klagomålsmail/A 51642-2021 FSC-klagomål mail.docx", "A 51642-2021")</f>
        <v/>
      </c>
      <c r="X23">
        <f>HYPERLINK("https://klasma.github.io/Logging_0586/tillsyn/A 51642-2021 tillsynsbegäran.docx", "A 51642-2021")</f>
        <v/>
      </c>
      <c r="Y23">
        <f>HYPERLINK("https://klasma.github.io/Logging_0586/tillsynsmail/A 51642-2021 tillsynsbegäran mail.docx", "A 51642-2021")</f>
        <v/>
      </c>
    </row>
    <row r="24" ht="15" customHeight="1">
      <c r="A24" t="inlineStr">
        <is>
          <t>A 1554-2022</t>
        </is>
      </c>
      <c r="B24" s="1" t="n">
        <v>44573</v>
      </c>
      <c r="C24" s="1" t="n">
        <v>46202</v>
      </c>
      <c r="D24" t="inlineStr">
        <is>
          <t>ÖSTERGÖTLANDS LÄN</t>
        </is>
      </c>
      <c r="E24" t="inlineStr">
        <is>
          <t>MJÖLBY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44652-2022</t>
        </is>
      </c>
      <c r="B25" s="1" t="n">
        <v>44840</v>
      </c>
      <c r="C25" s="1" t="n">
        <v>46202</v>
      </c>
      <c r="D25" t="inlineStr">
        <is>
          <t>ÖSTERGÖTLANDS LÄN</t>
        </is>
      </c>
      <c r="E25" t="inlineStr">
        <is>
          <t>MJÖLBY</t>
        </is>
      </c>
      <c r="F25" t="inlineStr">
        <is>
          <t>Kommuner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72290-2021</t>
        </is>
      </c>
      <c r="B26" s="1" t="n">
        <v>44545</v>
      </c>
      <c r="C26" s="1" t="n">
        <v>46202</v>
      </c>
      <c r="D26" t="inlineStr">
        <is>
          <t>ÖSTERGÖTLANDS LÄN</t>
        </is>
      </c>
      <c r="E26" t="inlineStr">
        <is>
          <t>MJÖLBY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1552-2022</t>
        </is>
      </c>
      <c r="B27" s="1" t="n">
        <v>44573</v>
      </c>
      <c r="C27" s="1" t="n">
        <v>46202</v>
      </c>
      <c r="D27" t="inlineStr">
        <is>
          <t>ÖSTERGÖTLANDS LÄN</t>
        </is>
      </c>
      <c r="E27" t="inlineStr">
        <is>
          <t>MJÖLBY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56458-2021</t>
        </is>
      </c>
      <c r="B28" s="1" t="n">
        <v>44480</v>
      </c>
      <c r="C28" s="1" t="n">
        <v>46202</v>
      </c>
      <c r="D28" t="inlineStr">
        <is>
          <t>ÖSTERGÖTLANDS LÄN</t>
        </is>
      </c>
      <c r="E28" t="inlineStr">
        <is>
          <t>MJÖLBY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48431-2021</t>
        </is>
      </c>
      <c r="B29" s="1" t="n">
        <v>44449</v>
      </c>
      <c r="C29" s="1" t="n">
        <v>46202</v>
      </c>
      <c r="D29" t="inlineStr">
        <is>
          <t>ÖSTERGÖTLANDS LÄN</t>
        </is>
      </c>
      <c r="E29" t="inlineStr">
        <is>
          <t>MJÖLBY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48438-2021</t>
        </is>
      </c>
      <c r="B30" s="1" t="n">
        <v>44449</v>
      </c>
      <c r="C30" s="1" t="n">
        <v>46202</v>
      </c>
      <c r="D30" t="inlineStr">
        <is>
          <t>ÖSTERGÖTLANDS LÄN</t>
        </is>
      </c>
      <c r="E30" t="inlineStr">
        <is>
          <t>MJÖLBY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58412-2023</t>
        </is>
      </c>
      <c r="B31" s="1" t="n">
        <v>45250</v>
      </c>
      <c r="C31" s="1" t="n">
        <v>46202</v>
      </c>
      <c r="D31" t="inlineStr">
        <is>
          <t>ÖSTERGÖTLANDS LÄN</t>
        </is>
      </c>
      <c r="E31" t="inlineStr">
        <is>
          <t>MJÖLBY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63449-2023</t>
        </is>
      </c>
      <c r="B32" s="1" t="n">
        <v>45273</v>
      </c>
      <c r="C32" s="1" t="n">
        <v>46202</v>
      </c>
      <c r="D32" t="inlineStr">
        <is>
          <t>ÖSTERGÖTLANDS LÄN</t>
        </is>
      </c>
      <c r="E32" t="inlineStr">
        <is>
          <t>MJÖLBY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3877-2023</t>
        </is>
      </c>
      <c r="B33" s="1" t="n">
        <v>44951</v>
      </c>
      <c r="C33" s="1" t="n">
        <v>46202</v>
      </c>
      <c r="D33" t="inlineStr">
        <is>
          <t>ÖSTERGÖTLANDS LÄN</t>
        </is>
      </c>
      <c r="E33" t="inlineStr">
        <is>
          <t>MJÖLBY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50901-2024</t>
        </is>
      </c>
      <c r="B34" s="1" t="n">
        <v>45602</v>
      </c>
      <c r="C34" s="1" t="n">
        <v>46202</v>
      </c>
      <c r="D34" t="inlineStr">
        <is>
          <t>ÖSTERGÖTLANDS LÄN</t>
        </is>
      </c>
      <c r="E34" t="inlineStr">
        <is>
          <t>MJÖLBY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60969-2023</t>
        </is>
      </c>
      <c r="B35" s="1" t="n">
        <v>45261</v>
      </c>
      <c r="C35" s="1" t="n">
        <v>46202</v>
      </c>
      <c r="D35" t="inlineStr">
        <is>
          <t>ÖSTERGÖTLANDS LÄN</t>
        </is>
      </c>
      <c r="E35" t="inlineStr">
        <is>
          <t>MJÖLBY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36401-2023</t>
        </is>
      </c>
      <c r="B36" s="1" t="n">
        <v>45152</v>
      </c>
      <c r="C36" s="1" t="n">
        <v>46202</v>
      </c>
      <c r="D36" t="inlineStr">
        <is>
          <t>ÖSTERGÖTLANDS LÄN</t>
        </is>
      </c>
      <c r="E36" t="inlineStr">
        <is>
          <t>MJÖLBY</t>
        </is>
      </c>
      <c r="F36" t="inlineStr">
        <is>
          <t>Allmännings- och besparingsskogar</t>
        </is>
      </c>
      <c r="G36" t="n">
        <v>6.3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50886-2024</t>
        </is>
      </c>
      <c r="B37" s="1" t="n">
        <v>45602</v>
      </c>
      <c r="C37" s="1" t="n">
        <v>46202</v>
      </c>
      <c r="D37" t="inlineStr">
        <is>
          <t>ÖSTERGÖTLANDS LÄN</t>
        </is>
      </c>
      <c r="E37" t="inlineStr">
        <is>
          <t>MJÖLBY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14210-2023</t>
        </is>
      </c>
      <c r="B38" s="1" t="n">
        <v>45009</v>
      </c>
      <c r="C38" s="1" t="n">
        <v>46202</v>
      </c>
      <c r="D38" t="inlineStr">
        <is>
          <t>ÖSTERGÖTLANDS LÄN</t>
        </is>
      </c>
      <c r="E38" t="inlineStr">
        <is>
          <t>MJÖLBY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3678-2025</t>
        </is>
      </c>
      <c r="B39" s="1" t="n">
        <v>45681</v>
      </c>
      <c r="C39" s="1" t="n">
        <v>46202</v>
      </c>
      <c r="D39" t="inlineStr">
        <is>
          <t>ÖSTERGÖTLANDS LÄN</t>
        </is>
      </c>
      <c r="E39" t="inlineStr">
        <is>
          <t>MJÖLBY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19352-2022</t>
        </is>
      </c>
      <c r="B40" s="1" t="n">
        <v>44692</v>
      </c>
      <c r="C40" s="1" t="n">
        <v>46202</v>
      </c>
      <c r="D40" t="inlineStr">
        <is>
          <t>ÖSTERGÖTLANDS LÄN</t>
        </is>
      </c>
      <c r="E40" t="inlineStr">
        <is>
          <t>MJÖLBY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60964-2023</t>
        </is>
      </c>
      <c r="B41" s="1" t="n">
        <v>45261</v>
      </c>
      <c r="C41" s="1" t="n">
        <v>46202</v>
      </c>
      <c r="D41" t="inlineStr">
        <is>
          <t>ÖSTERGÖTLANDS LÄN</t>
        </is>
      </c>
      <c r="E41" t="inlineStr">
        <is>
          <t>MJÖLBY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2418-2025</t>
        </is>
      </c>
      <c r="B42" s="1" t="n">
        <v>45674</v>
      </c>
      <c r="C42" s="1" t="n">
        <v>46202</v>
      </c>
      <c r="D42" t="inlineStr">
        <is>
          <t>ÖSTERGÖTLANDS LÄN</t>
        </is>
      </c>
      <c r="E42" t="inlineStr">
        <is>
          <t>MJÖLBY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60917-2022</t>
        </is>
      </c>
      <c r="B43" s="1" t="n">
        <v>44908</v>
      </c>
      <c r="C43" s="1" t="n">
        <v>46202</v>
      </c>
      <c r="D43" t="inlineStr">
        <is>
          <t>ÖSTERGÖTLANDS LÄN</t>
        </is>
      </c>
      <c r="E43" t="inlineStr">
        <is>
          <t>MJÖLBY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65921-2021</t>
        </is>
      </c>
      <c r="B44" s="1" t="n">
        <v>44517</v>
      </c>
      <c r="C44" s="1" t="n">
        <v>46202</v>
      </c>
      <c r="D44" t="inlineStr">
        <is>
          <t>ÖSTERGÖTLANDS LÄN</t>
        </is>
      </c>
      <c r="E44" t="inlineStr">
        <is>
          <t>MJÖLBY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54442-2021</t>
        </is>
      </c>
      <c r="B45" s="1" t="n">
        <v>44473</v>
      </c>
      <c r="C45" s="1" t="n">
        <v>46202</v>
      </c>
      <c r="D45" t="inlineStr">
        <is>
          <t>ÖSTERGÖTLANDS LÄN</t>
        </is>
      </c>
      <c r="E45" t="inlineStr">
        <is>
          <t>MJÖLBY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16304-2024</t>
        </is>
      </c>
      <c r="B46" s="1" t="n">
        <v>45407</v>
      </c>
      <c r="C46" s="1" t="n">
        <v>46202</v>
      </c>
      <c r="D46" t="inlineStr">
        <is>
          <t>ÖSTERGÖTLANDS LÄN</t>
        </is>
      </c>
      <c r="E46" t="inlineStr">
        <is>
          <t>MJÖLBY</t>
        </is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38300-2023</t>
        </is>
      </c>
      <c r="B47" s="1" t="n">
        <v>45161</v>
      </c>
      <c r="C47" s="1" t="n">
        <v>46202</v>
      </c>
      <c r="D47" t="inlineStr">
        <is>
          <t>ÖSTERGÖTLANDS LÄN</t>
        </is>
      </c>
      <c r="E47" t="inlineStr">
        <is>
          <t>MJÖLBY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43012-2024</t>
        </is>
      </c>
      <c r="B48" s="1" t="n">
        <v>45567</v>
      </c>
      <c r="C48" s="1" t="n">
        <v>46202</v>
      </c>
      <c r="D48" t="inlineStr">
        <is>
          <t>ÖSTERGÖTLANDS LÄN</t>
        </is>
      </c>
      <c r="E48" t="inlineStr">
        <is>
          <t>MJÖLBY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72563-2021</t>
        </is>
      </c>
      <c r="B49" s="1" t="n">
        <v>44546</v>
      </c>
      <c r="C49" s="1" t="n">
        <v>46202</v>
      </c>
      <c r="D49" t="inlineStr">
        <is>
          <t>ÖSTERGÖTLANDS LÄN</t>
        </is>
      </c>
      <c r="E49" t="inlineStr">
        <is>
          <t>MJÖLBY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50181-2023</t>
        </is>
      </c>
      <c r="B50" s="1" t="n">
        <v>45208</v>
      </c>
      <c r="C50" s="1" t="n">
        <v>46202</v>
      </c>
      <c r="D50" t="inlineStr">
        <is>
          <t>ÖSTERGÖTLANDS LÄN</t>
        </is>
      </c>
      <c r="E50" t="inlineStr">
        <is>
          <t>MJÖLBY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10950-2022</t>
        </is>
      </c>
      <c r="B51" s="1" t="n">
        <v>44627</v>
      </c>
      <c r="C51" s="1" t="n">
        <v>46202</v>
      </c>
      <c r="D51" t="inlineStr">
        <is>
          <t>ÖSTERGÖTLANDS LÄN</t>
        </is>
      </c>
      <c r="E51" t="inlineStr">
        <is>
          <t>MJÖLBY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35404-2023</t>
        </is>
      </c>
      <c r="B52" s="1" t="n">
        <v>45146</v>
      </c>
      <c r="C52" s="1" t="n">
        <v>46202</v>
      </c>
      <c r="D52" t="inlineStr">
        <is>
          <t>ÖSTERGÖTLANDS LÄN</t>
        </is>
      </c>
      <c r="E52" t="inlineStr">
        <is>
          <t>MJÖLBY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1293-2023</t>
        </is>
      </c>
      <c r="B53" s="1" t="n">
        <v>44936</v>
      </c>
      <c r="C53" s="1" t="n">
        <v>46202</v>
      </c>
      <c r="D53" t="inlineStr">
        <is>
          <t>ÖSTERGÖTLANDS LÄN</t>
        </is>
      </c>
      <c r="E53" t="inlineStr">
        <is>
          <t>MJÖLBY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22328-2024</t>
        </is>
      </c>
      <c r="B54" s="1" t="n">
        <v>45446</v>
      </c>
      <c r="C54" s="1" t="n">
        <v>46202</v>
      </c>
      <c r="D54" t="inlineStr">
        <is>
          <t>ÖSTERGÖTLANDS LÄN</t>
        </is>
      </c>
      <c r="E54" t="inlineStr">
        <is>
          <t>MJÖLBY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42042-2023</t>
        </is>
      </c>
      <c r="B55" s="1" t="n">
        <v>45177</v>
      </c>
      <c r="C55" s="1" t="n">
        <v>46202</v>
      </c>
      <c r="D55" t="inlineStr">
        <is>
          <t>ÖSTERGÖTLANDS LÄN</t>
        </is>
      </c>
      <c r="E55" t="inlineStr">
        <is>
          <t>MJÖLBY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64930-2023</t>
        </is>
      </c>
      <c r="B56" s="1" t="n">
        <v>45282</v>
      </c>
      <c r="C56" s="1" t="n">
        <v>46202</v>
      </c>
      <c r="D56" t="inlineStr">
        <is>
          <t>ÖSTERGÖTLANDS LÄN</t>
        </is>
      </c>
      <c r="E56" t="inlineStr">
        <is>
          <t>MJÖLBY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41337-2023</t>
        </is>
      </c>
      <c r="B57" s="1" t="n">
        <v>45174</v>
      </c>
      <c r="C57" s="1" t="n">
        <v>46202</v>
      </c>
      <c r="D57" t="inlineStr">
        <is>
          <t>ÖSTERGÖTLANDS LÄN</t>
        </is>
      </c>
      <c r="E57" t="inlineStr">
        <is>
          <t>MJÖLBY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10984-2024</t>
        </is>
      </c>
      <c r="B58" s="1" t="n">
        <v>45370</v>
      </c>
      <c r="C58" s="1" t="n">
        <v>46202</v>
      </c>
      <c r="D58" t="inlineStr">
        <is>
          <t>ÖSTERGÖTLANDS LÄN</t>
        </is>
      </c>
      <c r="E58" t="inlineStr">
        <is>
          <t>MJÖLBY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10980-2024</t>
        </is>
      </c>
      <c r="B59" s="1" t="n">
        <v>45370</v>
      </c>
      <c r="C59" s="1" t="n">
        <v>46202</v>
      </c>
      <c r="D59" t="inlineStr">
        <is>
          <t>ÖSTERGÖTLANDS LÄN</t>
        </is>
      </c>
      <c r="E59" t="inlineStr">
        <is>
          <t>MJÖLBY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38299-2023</t>
        </is>
      </c>
      <c r="B60" s="1" t="n">
        <v>45161</v>
      </c>
      <c r="C60" s="1" t="n">
        <v>46202</v>
      </c>
      <c r="D60" t="inlineStr">
        <is>
          <t>ÖSTERGÖTLANDS LÄN</t>
        </is>
      </c>
      <c r="E60" t="inlineStr">
        <is>
          <t>MJÖLBY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11944-2024</t>
        </is>
      </c>
      <c r="B61" s="1" t="n">
        <v>45376</v>
      </c>
      <c r="C61" s="1" t="n">
        <v>46202</v>
      </c>
      <c r="D61" t="inlineStr">
        <is>
          <t>ÖSTERGÖTLANDS LÄN</t>
        </is>
      </c>
      <c r="E61" t="inlineStr">
        <is>
          <t>MJÖLBY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61012-2023</t>
        </is>
      </c>
      <c r="B62" s="1" t="n">
        <v>45259</v>
      </c>
      <c r="C62" s="1" t="n">
        <v>46202</v>
      </c>
      <c r="D62" t="inlineStr">
        <is>
          <t>ÖSTERGÖTLANDS LÄN</t>
        </is>
      </c>
      <c r="E62" t="inlineStr">
        <is>
          <t>MJÖLBY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64934-2023</t>
        </is>
      </c>
      <c r="B63" s="1" t="n">
        <v>45282</v>
      </c>
      <c r="C63" s="1" t="n">
        <v>46202</v>
      </c>
      <c r="D63" t="inlineStr">
        <is>
          <t>ÖSTERGÖTLANDS LÄN</t>
        </is>
      </c>
      <c r="E63" t="inlineStr">
        <is>
          <t>MJÖLBY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3681-2025</t>
        </is>
      </c>
      <c r="B64" s="1" t="n">
        <v>45681</v>
      </c>
      <c r="C64" s="1" t="n">
        <v>46202</v>
      </c>
      <c r="D64" t="inlineStr">
        <is>
          <t>ÖSTERGÖTLANDS LÄN</t>
        </is>
      </c>
      <c r="E64" t="inlineStr">
        <is>
          <t>MJÖLBY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40667-2023</t>
        </is>
      </c>
      <c r="B65" s="1" t="n">
        <v>45170</v>
      </c>
      <c r="C65" s="1" t="n">
        <v>46202</v>
      </c>
      <c r="D65" t="inlineStr">
        <is>
          <t>ÖSTERGÖTLANDS LÄN</t>
        </is>
      </c>
      <c r="E65" t="inlineStr">
        <is>
          <t>MJÖLBY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37631-2023</t>
        </is>
      </c>
      <c r="B66" s="1" t="n">
        <v>45159</v>
      </c>
      <c r="C66" s="1" t="n">
        <v>46202</v>
      </c>
      <c r="D66" t="inlineStr">
        <is>
          <t>ÖSTERGÖTLANDS LÄN</t>
        </is>
      </c>
      <c r="E66" t="inlineStr">
        <is>
          <t>MJÖLBY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9125-2023</t>
        </is>
      </c>
      <c r="B67" s="1" t="n">
        <v>44980</v>
      </c>
      <c r="C67" s="1" t="n">
        <v>46202</v>
      </c>
      <c r="D67" t="inlineStr">
        <is>
          <t>ÖSTERGÖTLANDS LÄN</t>
        </is>
      </c>
      <c r="E67" t="inlineStr">
        <is>
          <t>MJÖLBY</t>
        </is>
      </c>
      <c r="F67" t="inlineStr">
        <is>
          <t>Kyrkan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2231-2025</t>
        </is>
      </c>
      <c r="B68" s="1" t="n">
        <v>45673</v>
      </c>
      <c r="C68" s="1" t="n">
        <v>46202</v>
      </c>
      <c r="D68" t="inlineStr">
        <is>
          <t>ÖSTERGÖTLANDS LÄN</t>
        </is>
      </c>
      <c r="E68" t="inlineStr">
        <is>
          <t>MJÖLBY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59234-2022</t>
        </is>
      </c>
      <c r="B69" s="1" t="n">
        <v>44904</v>
      </c>
      <c r="C69" s="1" t="n">
        <v>46202</v>
      </c>
      <c r="D69" t="inlineStr">
        <is>
          <t>ÖSTERGÖTLANDS LÄN</t>
        </is>
      </c>
      <c r="E69" t="inlineStr">
        <is>
          <t>MJÖLBY</t>
        </is>
      </c>
      <c r="F69" t="inlineStr">
        <is>
          <t>Övriga Aktiebolag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53518-2022</t>
        </is>
      </c>
      <c r="B70" s="1" t="n">
        <v>44879</v>
      </c>
      <c r="C70" s="1" t="n">
        <v>46202</v>
      </c>
      <c r="D70" t="inlineStr">
        <is>
          <t>ÖSTERGÖTLANDS LÄN</t>
        </is>
      </c>
      <c r="E70" t="inlineStr">
        <is>
          <t>MJÖLBY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2715-2022</t>
        </is>
      </c>
      <c r="B71" s="1" t="n">
        <v>44580</v>
      </c>
      <c r="C71" s="1" t="n">
        <v>46202</v>
      </c>
      <c r="D71" t="inlineStr">
        <is>
          <t>ÖSTERGÖTLANDS LÄN</t>
        </is>
      </c>
      <c r="E71" t="inlineStr">
        <is>
          <t>MJÖLBY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961-2024</t>
        </is>
      </c>
      <c r="B72" s="1" t="n">
        <v>45301</v>
      </c>
      <c r="C72" s="1" t="n">
        <v>46202</v>
      </c>
      <c r="D72" t="inlineStr">
        <is>
          <t>ÖSTERGÖTLANDS LÄN</t>
        </is>
      </c>
      <c r="E72" t="inlineStr">
        <is>
          <t>MJÖLBY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1011-2025</t>
        </is>
      </c>
      <c r="B73" s="1" t="n">
        <v>45666</v>
      </c>
      <c r="C73" s="1" t="n">
        <v>46202</v>
      </c>
      <c r="D73" t="inlineStr">
        <is>
          <t>ÖSTERGÖTLANDS LÄN</t>
        </is>
      </c>
      <c r="E73" t="inlineStr">
        <is>
          <t>MJÖLBY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1013-2025</t>
        </is>
      </c>
      <c r="B74" s="1" t="n">
        <v>45666</v>
      </c>
      <c r="C74" s="1" t="n">
        <v>46202</v>
      </c>
      <c r="D74" t="inlineStr">
        <is>
          <t>ÖSTERGÖTLANDS LÄN</t>
        </is>
      </c>
      <c r="E74" t="inlineStr">
        <is>
          <t>MJÖLBY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15783-2022</t>
        </is>
      </c>
      <c r="B75" s="1" t="n">
        <v>44663</v>
      </c>
      <c r="C75" s="1" t="n">
        <v>46202</v>
      </c>
      <c r="D75" t="inlineStr">
        <is>
          <t>ÖSTERGÖTLANDS LÄN</t>
        </is>
      </c>
      <c r="E75" t="inlineStr">
        <is>
          <t>MJÖLBY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34662-2024</t>
        </is>
      </c>
      <c r="B76" s="1" t="n">
        <v>45526</v>
      </c>
      <c r="C76" s="1" t="n">
        <v>46202</v>
      </c>
      <c r="D76" t="inlineStr">
        <is>
          <t>ÖSTERGÖTLANDS LÄN</t>
        </is>
      </c>
      <c r="E76" t="inlineStr">
        <is>
          <t>MJÖLBY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59410-2022</t>
        </is>
      </c>
      <c r="B77" s="1" t="n">
        <v>44907</v>
      </c>
      <c r="C77" s="1" t="n">
        <v>46202</v>
      </c>
      <c r="D77" t="inlineStr">
        <is>
          <t>ÖSTERGÖTLANDS LÄN</t>
        </is>
      </c>
      <c r="E77" t="inlineStr">
        <is>
          <t>MJÖLBY</t>
        </is>
      </c>
      <c r="F77" t="inlineStr">
        <is>
          <t>Övriga Aktiebolag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59411-2022</t>
        </is>
      </c>
      <c r="B78" s="1" t="n">
        <v>44907</v>
      </c>
      <c r="C78" s="1" t="n">
        <v>46202</v>
      </c>
      <c r="D78" t="inlineStr">
        <is>
          <t>ÖSTERGÖTLANDS LÄN</t>
        </is>
      </c>
      <c r="E78" t="inlineStr">
        <is>
          <t>MJÖLBY</t>
        </is>
      </c>
      <c r="F78" t="inlineStr">
        <is>
          <t>Övriga Aktiebolag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62570-2023</t>
        </is>
      </c>
      <c r="B79" s="1" t="n">
        <v>45269</v>
      </c>
      <c r="C79" s="1" t="n">
        <v>46202</v>
      </c>
      <c r="D79" t="inlineStr">
        <is>
          <t>ÖSTERGÖTLANDS LÄN</t>
        </is>
      </c>
      <c r="E79" t="inlineStr">
        <is>
          <t>MJÖLBY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2800-2025</t>
        </is>
      </c>
      <c r="B80" s="1" t="n">
        <v>45677</v>
      </c>
      <c r="C80" s="1" t="n">
        <v>46202</v>
      </c>
      <c r="D80" t="inlineStr">
        <is>
          <t>ÖSTERGÖTLANDS LÄN</t>
        </is>
      </c>
      <c r="E80" t="inlineStr">
        <is>
          <t>MJÖLBY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50179-2023</t>
        </is>
      </c>
      <c r="B81" s="1" t="n">
        <v>45208</v>
      </c>
      <c r="C81" s="1" t="n">
        <v>46202</v>
      </c>
      <c r="D81" t="inlineStr">
        <is>
          <t>ÖSTERGÖTLANDS LÄN</t>
        </is>
      </c>
      <c r="E81" t="inlineStr">
        <is>
          <t>MJÖLBY</t>
        </is>
      </c>
      <c r="G81" t="n">
        <v>5.6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51475-2023</t>
        </is>
      </c>
      <c r="B82" s="1" t="n">
        <v>45221</v>
      </c>
      <c r="C82" s="1" t="n">
        <v>46202</v>
      </c>
      <c r="D82" t="inlineStr">
        <is>
          <t>ÖSTERGÖTLANDS LÄN</t>
        </is>
      </c>
      <c r="E82" t="inlineStr">
        <is>
          <t>MJÖLBY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7337-2023</t>
        </is>
      </c>
      <c r="B83" s="1" t="n">
        <v>44971</v>
      </c>
      <c r="C83" s="1" t="n">
        <v>46202</v>
      </c>
      <c r="D83" t="inlineStr">
        <is>
          <t>ÖSTERGÖTLANDS LÄN</t>
        </is>
      </c>
      <c r="E83" t="inlineStr">
        <is>
          <t>MJÖLBY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50883-2024</t>
        </is>
      </c>
      <c r="B84" s="1" t="n">
        <v>45602</v>
      </c>
      <c r="C84" s="1" t="n">
        <v>46202</v>
      </c>
      <c r="D84" t="inlineStr">
        <is>
          <t>ÖSTERGÖTLANDS LÄN</t>
        </is>
      </c>
      <c r="E84" t="inlineStr">
        <is>
          <t>MJÖLBY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50896-2024</t>
        </is>
      </c>
      <c r="B85" s="1" t="n">
        <v>45602</v>
      </c>
      <c r="C85" s="1" t="n">
        <v>46202</v>
      </c>
      <c r="D85" t="inlineStr">
        <is>
          <t>ÖSTERGÖTLANDS LÄN</t>
        </is>
      </c>
      <c r="E85" t="inlineStr">
        <is>
          <t>MJÖLBY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34521-2024</t>
        </is>
      </c>
      <c r="B86" s="1" t="n">
        <v>45525</v>
      </c>
      <c r="C86" s="1" t="n">
        <v>46202</v>
      </c>
      <c r="D86" t="inlineStr">
        <is>
          <t>ÖSTERGÖTLANDS LÄN</t>
        </is>
      </c>
      <c r="E86" t="inlineStr">
        <is>
          <t>MJÖLBY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8658-2022</t>
        </is>
      </c>
      <c r="B87" s="1" t="n">
        <v>44613</v>
      </c>
      <c r="C87" s="1" t="n">
        <v>46202</v>
      </c>
      <c r="D87" t="inlineStr">
        <is>
          <t>ÖSTERGÖTLANDS LÄN</t>
        </is>
      </c>
      <c r="E87" t="inlineStr">
        <is>
          <t>MJÖLBY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15467-2023</t>
        </is>
      </c>
      <c r="B88" s="1" t="n">
        <v>45020</v>
      </c>
      <c r="C88" s="1" t="n">
        <v>46202</v>
      </c>
      <c r="D88" t="inlineStr">
        <is>
          <t>ÖSTERGÖTLANDS LÄN</t>
        </is>
      </c>
      <c r="E88" t="inlineStr">
        <is>
          <t>MJÖLBY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72558-2021</t>
        </is>
      </c>
      <c r="B89" s="1" t="n">
        <v>44546</v>
      </c>
      <c r="C89" s="1" t="n">
        <v>46202</v>
      </c>
      <c r="D89" t="inlineStr">
        <is>
          <t>ÖSTERGÖTLANDS LÄN</t>
        </is>
      </c>
      <c r="E89" t="inlineStr">
        <is>
          <t>MJÖLBY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3087-2023</t>
        </is>
      </c>
      <c r="B90" s="1" t="n">
        <v>44946</v>
      </c>
      <c r="C90" s="1" t="n">
        <v>46202</v>
      </c>
      <c r="D90" t="inlineStr">
        <is>
          <t>ÖSTERGÖTLANDS LÄN</t>
        </is>
      </c>
      <c r="E90" t="inlineStr">
        <is>
          <t>MJÖLBY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50570-2023</t>
        </is>
      </c>
      <c r="B91" s="1" t="n">
        <v>45217</v>
      </c>
      <c r="C91" s="1" t="n">
        <v>46202</v>
      </c>
      <c r="D91" t="inlineStr">
        <is>
          <t>ÖSTERGÖTLANDS LÄN</t>
        </is>
      </c>
      <c r="E91" t="inlineStr">
        <is>
          <t>MJÖLBY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6480-2025</t>
        </is>
      </c>
      <c r="B92" s="1" t="n">
        <v>45699</v>
      </c>
      <c r="C92" s="1" t="n">
        <v>46202</v>
      </c>
      <c r="D92" t="inlineStr">
        <is>
          <t>ÖSTERGÖTLANDS LÄN</t>
        </is>
      </c>
      <c r="E92" t="inlineStr">
        <is>
          <t>MJÖLBY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27232-2025</t>
        </is>
      </c>
      <c r="B93" s="1" t="n">
        <v>45812</v>
      </c>
      <c r="C93" s="1" t="n">
        <v>46202</v>
      </c>
      <c r="D93" t="inlineStr">
        <is>
          <t>ÖSTERGÖTLANDS LÄN</t>
        </is>
      </c>
      <c r="E93" t="inlineStr">
        <is>
          <t>MJÖLBY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35447-2023</t>
        </is>
      </c>
      <c r="B94" s="1" t="n">
        <v>45146</v>
      </c>
      <c r="C94" s="1" t="n">
        <v>46202</v>
      </c>
      <c r="D94" t="inlineStr">
        <is>
          <t>ÖSTERGÖTLANDS LÄN</t>
        </is>
      </c>
      <c r="E94" t="inlineStr">
        <is>
          <t>MJÖLBY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79-2024</t>
        </is>
      </c>
      <c r="B95" s="1" t="n">
        <v>45293</v>
      </c>
      <c r="C95" s="1" t="n">
        <v>46202</v>
      </c>
      <c r="D95" t="inlineStr">
        <is>
          <t>ÖSTERGÖTLANDS LÄN</t>
        </is>
      </c>
      <c r="E95" t="inlineStr">
        <is>
          <t>MJÖLBY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60977-2023</t>
        </is>
      </c>
      <c r="B96" s="1" t="n">
        <v>45261</v>
      </c>
      <c r="C96" s="1" t="n">
        <v>46202</v>
      </c>
      <c r="D96" t="inlineStr">
        <is>
          <t>ÖSTERGÖTLANDS LÄN</t>
        </is>
      </c>
      <c r="E96" t="inlineStr">
        <is>
          <t>MJÖLBY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28663-2025</t>
        </is>
      </c>
      <c r="B97" s="1" t="n">
        <v>45819</v>
      </c>
      <c r="C97" s="1" t="n">
        <v>46202</v>
      </c>
      <c r="D97" t="inlineStr">
        <is>
          <t>ÖSTERGÖTLANDS LÄN</t>
        </is>
      </c>
      <c r="E97" t="inlineStr">
        <is>
          <t>MJÖLBY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12253-2024</t>
        </is>
      </c>
      <c r="B98" s="1" t="n">
        <v>45378</v>
      </c>
      <c r="C98" s="1" t="n">
        <v>46202</v>
      </c>
      <c r="D98" t="inlineStr">
        <is>
          <t>ÖSTERGÖTLANDS LÄN</t>
        </is>
      </c>
      <c r="E98" t="inlineStr">
        <is>
          <t>MJÖLBY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12254-2024</t>
        </is>
      </c>
      <c r="B99" s="1" t="n">
        <v>45378</v>
      </c>
      <c r="C99" s="1" t="n">
        <v>46202</v>
      </c>
      <c r="D99" t="inlineStr">
        <is>
          <t>ÖSTERGÖTLANDS LÄN</t>
        </is>
      </c>
      <c r="E99" t="inlineStr">
        <is>
          <t>MJÖLBY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4314-2024</t>
        </is>
      </c>
      <c r="B100" s="1" t="n">
        <v>45324</v>
      </c>
      <c r="C100" s="1" t="n">
        <v>46202</v>
      </c>
      <c r="D100" t="inlineStr">
        <is>
          <t>ÖSTERGÖTLANDS LÄN</t>
        </is>
      </c>
      <c r="E100" t="inlineStr">
        <is>
          <t>MJÖLBY</t>
        </is>
      </c>
      <c r="F100" t="inlineStr">
        <is>
          <t>Kyrkan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12769-2024</t>
        </is>
      </c>
      <c r="B101" s="1" t="n">
        <v>45384</v>
      </c>
      <c r="C101" s="1" t="n">
        <v>46202</v>
      </c>
      <c r="D101" t="inlineStr">
        <is>
          <t>ÖSTERGÖTLANDS LÄN</t>
        </is>
      </c>
      <c r="E101" t="inlineStr">
        <is>
          <t>MJÖLBY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49915-2024</t>
        </is>
      </c>
      <c r="B102" s="1" t="n">
        <v>45597</v>
      </c>
      <c r="C102" s="1" t="n">
        <v>46202</v>
      </c>
      <c r="D102" t="inlineStr">
        <is>
          <t>ÖSTERGÖTLANDS LÄN</t>
        </is>
      </c>
      <c r="E102" t="inlineStr">
        <is>
          <t>MJÖLBY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30468-2025</t>
        </is>
      </c>
      <c r="B103" s="1" t="n">
        <v>45827</v>
      </c>
      <c r="C103" s="1" t="n">
        <v>46202</v>
      </c>
      <c r="D103" t="inlineStr">
        <is>
          <t>ÖSTERGÖTLANDS LÄN</t>
        </is>
      </c>
      <c r="E103" t="inlineStr">
        <is>
          <t>MJÖLBY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23781-2025</t>
        </is>
      </c>
      <c r="B104" s="1" t="n">
        <v>45793</v>
      </c>
      <c r="C104" s="1" t="n">
        <v>46202</v>
      </c>
      <c r="D104" t="inlineStr">
        <is>
          <t>ÖSTERGÖTLANDS LÄN</t>
        </is>
      </c>
      <c r="E104" t="inlineStr">
        <is>
          <t>MJÖLBY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31624-2025</t>
        </is>
      </c>
      <c r="B105" s="1" t="n">
        <v>45834</v>
      </c>
      <c r="C105" s="1" t="n">
        <v>46202</v>
      </c>
      <c r="D105" t="inlineStr">
        <is>
          <t>ÖSTERGÖTLANDS LÄN</t>
        </is>
      </c>
      <c r="E105" t="inlineStr">
        <is>
          <t>MJÖLBY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31623-2025</t>
        </is>
      </c>
      <c r="B106" s="1" t="n">
        <v>45834</v>
      </c>
      <c r="C106" s="1" t="n">
        <v>46202</v>
      </c>
      <c r="D106" t="inlineStr">
        <is>
          <t>ÖSTERGÖTLANDS LÄN</t>
        </is>
      </c>
      <c r="E106" t="inlineStr">
        <is>
          <t>MJÖLBY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41819-2023</t>
        </is>
      </c>
      <c r="B107" s="1" t="n">
        <v>45176</v>
      </c>
      <c r="C107" s="1" t="n">
        <v>46202</v>
      </c>
      <c r="D107" t="inlineStr">
        <is>
          <t>ÖSTERGÖTLANDS LÄN</t>
        </is>
      </c>
      <c r="E107" t="inlineStr">
        <is>
          <t>MJÖLBY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58415-2021</t>
        </is>
      </c>
      <c r="B108" s="1" t="n">
        <v>44488</v>
      </c>
      <c r="C108" s="1" t="n">
        <v>46202</v>
      </c>
      <c r="D108" t="inlineStr">
        <is>
          <t>ÖSTERGÖTLANDS LÄN</t>
        </is>
      </c>
      <c r="E108" t="inlineStr">
        <is>
          <t>MJÖLBY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52655-2023</t>
        </is>
      </c>
      <c r="B109" s="1" t="n">
        <v>45225</v>
      </c>
      <c r="C109" s="1" t="n">
        <v>46202</v>
      </c>
      <c r="D109" t="inlineStr">
        <is>
          <t>ÖSTERGÖTLANDS LÄN</t>
        </is>
      </c>
      <c r="E109" t="inlineStr">
        <is>
          <t>MJÖLBY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22307-2024</t>
        </is>
      </c>
      <c r="B110" s="1" t="n">
        <v>45446</v>
      </c>
      <c r="C110" s="1" t="n">
        <v>46202</v>
      </c>
      <c r="D110" t="inlineStr">
        <is>
          <t>ÖSTERGÖTLANDS LÄN</t>
        </is>
      </c>
      <c r="E110" t="inlineStr">
        <is>
          <t>MJÖLBY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46240-2021</t>
        </is>
      </c>
      <c r="B111" s="1" t="n">
        <v>44442</v>
      </c>
      <c r="C111" s="1" t="n">
        <v>46202</v>
      </c>
      <c r="D111" t="inlineStr">
        <is>
          <t>ÖSTERGÖTLANDS LÄN</t>
        </is>
      </c>
      <c r="E111" t="inlineStr">
        <is>
          <t>MJÖLBY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50339-2023</t>
        </is>
      </c>
      <c r="B112" s="1" t="n">
        <v>45216</v>
      </c>
      <c r="C112" s="1" t="n">
        <v>46202</v>
      </c>
      <c r="D112" t="inlineStr">
        <is>
          <t>ÖSTERGÖTLANDS LÄN</t>
        </is>
      </c>
      <c r="E112" t="inlineStr">
        <is>
          <t>MJÖLBY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24866-2023</t>
        </is>
      </c>
      <c r="B113" s="1" t="n">
        <v>45085</v>
      </c>
      <c r="C113" s="1" t="n">
        <v>46202</v>
      </c>
      <c r="D113" t="inlineStr">
        <is>
          <t>ÖSTERGÖTLANDS LÄN</t>
        </is>
      </c>
      <c r="E113" t="inlineStr">
        <is>
          <t>MJÖLBY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39950-2024</t>
        </is>
      </c>
      <c r="B114" s="1" t="n">
        <v>45553</v>
      </c>
      <c r="C114" s="1" t="n">
        <v>46202</v>
      </c>
      <c r="D114" t="inlineStr">
        <is>
          <t>ÖSTERGÖTLANDS LÄN</t>
        </is>
      </c>
      <c r="E114" t="inlineStr">
        <is>
          <t>MJÖLBY</t>
        </is>
      </c>
      <c r="F114" t="inlineStr">
        <is>
          <t>Kyrkan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11270-2022</t>
        </is>
      </c>
      <c r="B115" s="1" t="n">
        <v>44629</v>
      </c>
      <c r="C115" s="1" t="n">
        <v>46202</v>
      </c>
      <c r="D115" t="inlineStr">
        <is>
          <t>ÖSTERGÖTLANDS LÄN</t>
        </is>
      </c>
      <c r="E115" t="inlineStr">
        <is>
          <t>MJÖLBY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66977-2021</t>
        </is>
      </c>
      <c r="B116" s="1" t="n">
        <v>44522</v>
      </c>
      <c r="C116" s="1" t="n">
        <v>46202</v>
      </c>
      <c r="D116" t="inlineStr">
        <is>
          <t>ÖSTERGÖTLANDS LÄN</t>
        </is>
      </c>
      <c r="E116" t="inlineStr">
        <is>
          <t>MJÖLBY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34431-2022</t>
        </is>
      </c>
      <c r="B117" s="1" t="n">
        <v>44792</v>
      </c>
      <c r="C117" s="1" t="n">
        <v>46202</v>
      </c>
      <c r="D117" t="inlineStr">
        <is>
          <t>ÖSTERGÖTLANDS LÄN</t>
        </is>
      </c>
      <c r="E117" t="inlineStr">
        <is>
          <t>MJÖLBY</t>
        </is>
      </c>
      <c r="F117" t="inlineStr">
        <is>
          <t>Kommuner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37806-2022</t>
        </is>
      </c>
      <c r="B118" s="1" t="n">
        <v>44810</v>
      </c>
      <c r="C118" s="1" t="n">
        <v>46202</v>
      </c>
      <c r="D118" t="inlineStr">
        <is>
          <t>ÖSTERGÖTLANDS LÄN</t>
        </is>
      </c>
      <c r="E118" t="inlineStr">
        <is>
          <t>MJÖLBY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37802-2022</t>
        </is>
      </c>
      <c r="B119" s="1" t="n">
        <v>44810</v>
      </c>
      <c r="C119" s="1" t="n">
        <v>46202</v>
      </c>
      <c r="D119" t="inlineStr">
        <is>
          <t>ÖSTERGÖTLANDS LÄN</t>
        </is>
      </c>
      <c r="E119" t="inlineStr">
        <is>
          <t>MJÖLBY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49566-2021</t>
        </is>
      </c>
      <c r="B120" s="1" t="n">
        <v>44455</v>
      </c>
      <c r="C120" s="1" t="n">
        <v>46202</v>
      </c>
      <c r="D120" t="inlineStr">
        <is>
          <t>ÖSTERGÖTLANDS LÄN</t>
        </is>
      </c>
      <c r="E120" t="inlineStr">
        <is>
          <t>MJÖLBY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68095-2021</t>
        </is>
      </c>
      <c r="B121" s="1" t="n">
        <v>44526</v>
      </c>
      <c r="C121" s="1" t="n">
        <v>46202</v>
      </c>
      <c r="D121" t="inlineStr">
        <is>
          <t>ÖSTERGÖTLANDS LÄN</t>
        </is>
      </c>
      <c r="E121" t="inlineStr">
        <is>
          <t>MJÖLBY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15276-2022</t>
        </is>
      </c>
      <c r="B122" s="1" t="n">
        <v>44659</v>
      </c>
      <c r="C122" s="1" t="n">
        <v>46202</v>
      </c>
      <c r="D122" t="inlineStr">
        <is>
          <t>ÖSTERGÖTLANDS LÄN</t>
        </is>
      </c>
      <c r="E122" t="inlineStr">
        <is>
          <t>MJÖLBY</t>
        </is>
      </c>
      <c r="F122" t="inlineStr">
        <is>
          <t>Kyrkan</t>
        </is>
      </c>
      <c r="G122" t="n">
        <v>7.6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17707-2023</t>
        </is>
      </c>
      <c r="B123" s="1" t="n">
        <v>45037</v>
      </c>
      <c r="C123" s="1" t="n">
        <v>46202</v>
      </c>
      <c r="D123" t="inlineStr">
        <is>
          <t>ÖSTERGÖTLANDS LÄN</t>
        </is>
      </c>
      <c r="E123" t="inlineStr">
        <is>
          <t>MJÖLBY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46248-2024</t>
        </is>
      </c>
      <c r="B124" s="1" t="n">
        <v>45581</v>
      </c>
      <c r="C124" s="1" t="n">
        <v>46202</v>
      </c>
      <c r="D124" t="inlineStr">
        <is>
          <t>ÖSTERGÖTLANDS LÄN</t>
        </is>
      </c>
      <c r="E124" t="inlineStr">
        <is>
          <t>MJÖLBY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58800-2022</t>
        </is>
      </c>
      <c r="B125" s="1" t="n">
        <v>44903</v>
      </c>
      <c r="C125" s="1" t="n">
        <v>46202</v>
      </c>
      <c r="D125" t="inlineStr">
        <is>
          <t>ÖSTERGÖTLANDS LÄN</t>
        </is>
      </c>
      <c r="E125" t="inlineStr">
        <is>
          <t>MJÖLBY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4821-2023</t>
        </is>
      </c>
      <c r="B126" s="1" t="n">
        <v>44957</v>
      </c>
      <c r="C126" s="1" t="n">
        <v>46202</v>
      </c>
      <c r="D126" t="inlineStr">
        <is>
          <t>ÖSTERGÖTLANDS LÄN</t>
        </is>
      </c>
      <c r="E126" t="inlineStr">
        <is>
          <t>MJÖLBY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61575-2023</t>
        </is>
      </c>
      <c r="B127" s="1" t="n">
        <v>45261</v>
      </c>
      <c r="C127" s="1" t="n">
        <v>46202</v>
      </c>
      <c r="D127" t="inlineStr">
        <is>
          <t>ÖSTERGÖTLANDS LÄN</t>
        </is>
      </c>
      <c r="E127" t="inlineStr">
        <is>
          <t>MJÖLBY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11478-2024</t>
        </is>
      </c>
      <c r="B128" s="1" t="n">
        <v>45372</v>
      </c>
      <c r="C128" s="1" t="n">
        <v>46202</v>
      </c>
      <c r="D128" t="inlineStr">
        <is>
          <t>ÖSTERGÖTLANDS LÄN</t>
        </is>
      </c>
      <c r="E128" t="inlineStr">
        <is>
          <t>MJÖLBY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38760-2025</t>
        </is>
      </c>
      <c r="B129" s="1" t="n">
        <v>45887</v>
      </c>
      <c r="C129" s="1" t="n">
        <v>46202</v>
      </c>
      <c r="D129" t="inlineStr">
        <is>
          <t>ÖSTERGÖTLANDS LÄN</t>
        </is>
      </c>
      <c r="E129" t="inlineStr">
        <is>
          <t>MJÖLBY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38199-2025</t>
        </is>
      </c>
      <c r="B130" s="1" t="n">
        <v>45882</v>
      </c>
      <c r="C130" s="1" t="n">
        <v>46202</v>
      </c>
      <c r="D130" t="inlineStr">
        <is>
          <t>ÖSTERGÖTLANDS LÄN</t>
        </is>
      </c>
      <c r="E130" t="inlineStr">
        <is>
          <t>MJÖLBY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34664-2024</t>
        </is>
      </c>
      <c r="B131" s="1" t="n">
        <v>45526</v>
      </c>
      <c r="C131" s="1" t="n">
        <v>46202</v>
      </c>
      <c r="D131" t="inlineStr">
        <is>
          <t>ÖSTERGÖTLANDS LÄN</t>
        </is>
      </c>
      <c r="E131" t="inlineStr">
        <is>
          <t>MJÖLBY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51630-2021</t>
        </is>
      </c>
      <c r="B132" s="1" t="n">
        <v>44462</v>
      </c>
      <c r="C132" s="1" t="n">
        <v>46202</v>
      </c>
      <c r="D132" t="inlineStr">
        <is>
          <t>ÖSTERGÖTLANDS LÄN</t>
        </is>
      </c>
      <c r="E132" t="inlineStr">
        <is>
          <t>MJÖLBY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37083-2024</t>
        </is>
      </c>
      <c r="B133" s="1" t="n">
        <v>45539</v>
      </c>
      <c r="C133" s="1" t="n">
        <v>46202</v>
      </c>
      <c r="D133" t="inlineStr">
        <is>
          <t>ÖSTERGÖTLANDS LÄN</t>
        </is>
      </c>
      <c r="E133" t="inlineStr">
        <is>
          <t>MJÖLBY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12675-2024</t>
        </is>
      </c>
      <c r="B134" s="1" t="n">
        <v>45384</v>
      </c>
      <c r="C134" s="1" t="n">
        <v>46202</v>
      </c>
      <c r="D134" t="inlineStr">
        <is>
          <t>ÖSTERGÖTLANDS LÄN</t>
        </is>
      </c>
      <c r="E134" t="inlineStr">
        <is>
          <t>MJÖLBY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15491-2024</t>
        </is>
      </c>
      <c r="B135" s="1" t="n">
        <v>45401</v>
      </c>
      <c r="C135" s="1" t="n">
        <v>46202</v>
      </c>
      <c r="D135" t="inlineStr">
        <is>
          <t>ÖSTERGÖTLANDS LÄN</t>
        </is>
      </c>
      <c r="E135" t="inlineStr">
        <is>
          <t>MJÖLBY</t>
        </is>
      </c>
      <c r="F135" t="inlineStr">
        <is>
          <t>Sveaskog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49971-2023</t>
        </is>
      </c>
      <c r="B136" s="1" t="n">
        <v>45215</v>
      </c>
      <c r="C136" s="1" t="n">
        <v>46202</v>
      </c>
      <c r="D136" t="inlineStr">
        <is>
          <t>ÖSTERGÖTLANDS LÄN</t>
        </is>
      </c>
      <c r="E136" t="inlineStr">
        <is>
          <t>MJÖLBY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13560-2025</t>
        </is>
      </c>
      <c r="B137" s="1" t="n">
        <v>45736</v>
      </c>
      <c r="C137" s="1" t="n">
        <v>46202</v>
      </c>
      <c r="D137" t="inlineStr">
        <is>
          <t>ÖSTERGÖTLANDS LÄN</t>
        </is>
      </c>
      <c r="E137" t="inlineStr">
        <is>
          <t>MJÖLBY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38278-2024</t>
        </is>
      </c>
      <c r="B138" s="1" t="n">
        <v>45545</v>
      </c>
      <c r="C138" s="1" t="n">
        <v>46202</v>
      </c>
      <c r="D138" t="inlineStr">
        <is>
          <t>ÖSTERGÖTLANDS LÄN</t>
        </is>
      </c>
      <c r="E138" t="inlineStr">
        <is>
          <t>MJÖLBY</t>
        </is>
      </c>
      <c r="G138" t="n">
        <v>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51326-2025</t>
        </is>
      </c>
      <c r="B139" s="1" t="n">
        <v>45950</v>
      </c>
      <c r="C139" s="1" t="n">
        <v>46202</v>
      </c>
      <c r="D139" t="inlineStr">
        <is>
          <t>ÖSTERGÖTLANDS LÄN</t>
        </is>
      </c>
      <c r="E139" t="inlineStr">
        <is>
          <t>MJÖLBY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45918-2024</t>
        </is>
      </c>
      <c r="B140" s="1" t="n">
        <v>45580</v>
      </c>
      <c r="C140" s="1" t="n">
        <v>46202</v>
      </c>
      <c r="D140" t="inlineStr">
        <is>
          <t>ÖSTERGÖTLANDS LÄN</t>
        </is>
      </c>
      <c r="E140" t="inlineStr">
        <is>
          <t>MJÖLBY</t>
        </is>
      </c>
      <c r="G140" t="n">
        <v>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51335-2025</t>
        </is>
      </c>
      <c r="B141" s="1" t="n">
        <v>45950</v>
      </c>
      <c r="C141" s="1" t="n">
        <v>46202</v>
      </c>
      <c r="D141" t="inlineStr">
        <is>
          <t>ÖSTERGÖTLANDS LÄN</t>
        </is>
      </c>
      <c r="E141" t="inlineStr">
        <is>
          <t>MJÖLBY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50906-2024</t>
        </is>
      </c>
      <c r="B142" s="1" t="n">
        <v>45602</v>
      </c>
      <c r="C142" s="1" t="n">
        <v>46202</v>
      </c>
      <c r="D142" t="inlineStr">
        <is>
          <t>ÖSTERGÖTLANDS LÄN</t>
        </is>
      </c>
      <c r="E142" t="inlineStr">
        <is>
          <t>MJÖLBY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43026-2025</t>
        </is>
      </c>
      <c r="B143" s="1" t="n">
        <v>45909</v>
      </c>
      <c r="C143" s="1" t="n">
        <v>46202</v>
      </c>
      <c r="D143" t="inlineStr">
        <is>
          <t>ÖSTERGÖTLANDS LÄN</t>
        </is>
      </c>
      <c r="E143" t="inlineStr">
        <is>
          <t>MJÖLBY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43032-2025</t>
        </is>
      </c>
      <c r="B144" s="1" t="n">
        <v>45909</v>
      </c>
      <c r="C144" s="1" t="n">
        <v>46202</v>
      </c>
      <c r="D144" t="inlineStr">
        <is>
          <t>ÖSTERGÖTLANDS LÄN</t>
        </is>
      </c>
      <c r="E144" t="inlineStr">
        <is>
          <t>MJÖLBY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23114-2025</t>
        </is>
      </c>
      <c r="B145" s="1" t="n">
        <v>45791</v>
      </c>
      <c r="C145" s="1" t="n">
        <v>46202</v>
      </c>
      <c r="D145" t="inlineStr">
        <is>
          <t>ÖSTERGÖTLANDS LÄN</t>
        </is>
      </c>
      <c r="E145" t="inlineStr">
        <is>
          <t>MJÖLBY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57284-2024</t>
        </is>
      </c>
      <c r="B146" s="1" t="n">
        <v>45629</v>
      </c>
      <c r="C146" s="1" t="n">
        <v>46202</v>
      </c>
      <c r="D146" t="inlineStr">
        <is>
          <t>ÖSTERGÖTLANDS LÄN</t>
        </is>
      </c>
      <c r="E146" t="inlineStr">
        <is>
          <t>MJÖLBY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2749-2024</t>
        </is>
      </c>
      <c r="B147" s="1" t="n">
        <v>45314</v>
      </c>
      <c r="C147" s="1" t="n">
        <v>46202</v>
      </c>
      <c r="D147" t="inlineStr">
        <is>
          <t>ÖSTERGÖTLANDS LÄN</t>
        </is>
      </c>
      <c r="E147" t="inlineStr">
        <is>
          <t>MJÖLBY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6785-2024</t>
        </is>
      </c>
      <c r="B148" s="1" t="n">
        <v>45342</v>
      </c>
      <c r="C148" s="1" t="n">
        <v>46202</v>
      </c>
      <c r="D148" t="inlineStr">
        <is>
          <t>ÖSTERGÖTLANDS LÄN</t>
        </is>
      </c>
      <c r="E148" t="inlineStr">
        <is>
          <t>MJÖLBY</t>
        </is>
      </c>
      <c r="F148" t="inlineStr">
        <is>
          <t>Kyrkan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55730-2022</t>
        </is>
      </c>
      <c r="B149" s="1" t="n">
        <v>44888</v>
      </c>
      <c r="C149" s="1" t="n">
        <v>46202</v>
      </c>
      <c r="D149" t="inlineStr">
        <is>
          <t>ÖSTERGÖTLANDS LÄN</t>
        </is>
      </c>
      <c r="E149" t="inlineStr">
        <is>
          <t>MJÖLBY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44757-2025</t>
        </is>
      </c>
      <c r="B150" s="1" t="n">
        <v>45917</v>
      </c>
      <c r="C150" s="1" t="n">
        <v>46202</v>
      </c>
      <c r="D150" t="inlineStr">
        <is>
          <t>ÖSTERGÖTLANDS LÄN</t>
        </is>
      </c>
      <c r="E150" t="inlineStr">
        <is>
          <t>MJÖLBY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44752-2025</t>
        </is>
      </c>
      <c r="B151" s="1" t="n">
        <v>45917</v>
      </c>
      <c r="C151" s="1" t="n">
        <v>46202</v>
      </c>
      <c r="D151" t="inlineStr">
        <is>
          <t>ÖSTERGÖTLANDS LÄN</t>
        </is>
      </c>
      <c r="E151" t="inlineStr">
        <is>
          <t>MJÖLBY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44753-2025</t>
        </is>
      </c>
      <c r="B152" s="1" t="n">
        <v>45917</v>
      </c>
      <c r="C152" s="1" t="n">
        <v>46202</v>
      </c>
      <c r="D152" t="inlineStr">
        <is>
          <t>ÖSTERGÖTLANDS LÄN</t>
        </is>
      </c>
      <c r="E152" t="inlineStr">
        <is>
          <t>MJÖLBY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44756-2025</t>
        </is>
      </c>
      <c r="B153" s="1" t="n">
        <v>45917</v>
      </c>
      <c r="C153" s="1" t="n">
        <v>46202</v>
      </c>
      <c r="D153" t="inlineStr">
        <is>
          <t>ÖSTERGÖTLANDS LÄN</t>
        </is>
      </c>
      <c r="E153" t="inlineStr">
        <is>
          <t>MJÖLBY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53520-2022</t>
        </is>
      </c>
      <c r="B154" s="1" t="n">
        <v>44879</v>
      </c>
      <c r="C154" s="1" t="n">
        <v>46202</v>
      </c>
      <c r="D154" t="inlineStr">
        <is>
          <t>ÖSTERGÖTLANDS LÄN</t>
        </is>
      </c>
      <c r="E154" t="inlineStr">
        <is>
          <t>MJÖLBY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44769-2025</t>
        </is>
      </c>
      <c r="B155" s="1" t="n">
        <v>45917</v>
      </c>
      <c r="C155" s="1" t="n">
        <v>46202</v>
      </c>
      <c r="D155" t="inlineStr">
        <is>
          <t>ÖSTERGÖTLANDS LÄN</t>
        </is>
      </c>
      <c r="E155" t="inlineStr">
        <is>
          <t>MJÖLBY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44770-2025</t>
        </is>
      </c>
      <c r="B156" s="1" t="n">
        <v>45917</v>
      </c>
      <c r="C156" s="1" t="n">
        <v>46202</v>
      </c>
      <c r="D156" t="inlineStr">
        <is>
          <t>ÖSTERGÖTLANDS LÄN</t>
        </is>
      </c>
      <c r="E156" t="inlineStr">
        <is>
          <t>MJÖLBY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46164-2025</t>
        </is>
      </c>
      <c r="B157" s="1" t="n">
        <v>45924</v>
      </c>
      <c r="C157" s="1" t="n">
        <v>46202</v>
      </c>
      <c r="D157" t="inlineStr">
        <is>
          <t>ÖSTERGÖTLANDS LÄN</t>
        </is>
      </c>
      <c r="E157" t="inlineStr">
        <is>
          <t>MJÖLBY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46159-2025</t>
        </is>
      </c>
      <c r="B158" s="1" t="n">
        <v>45924</v>
      </c>
      <c r="C158" s="1" t="n">
        <v>46202</v>
      </c>
      <c r="D158" t="inlineStr">
        <is>
          <t>ÖSTERGÖTLANDS LÄN</t>
        </is>
      </c>
      <c r="E158" t="inlineStr">
        <is>
          <t>MJÖLBY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46144-2025</t>
        </is>
      </c>
      <c r="B159" s="1" t="n">
        <v>45924</v>
      </c>
      <c r="C159" s="1" t="n">
        <v>46202</v>
      </c>
      <c r="D159" t="inlineStr">
        <is>
          <t>ÖSTERGÖTLANDS LÄN</t>
        </is>
      </c>
      <c r="E159" t="inlineStr">
        <is>
          <t>MJÖLBY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55939-2025</t>
        </is>
      </c>
      <c r="B160" s="1" t="n">
        <v>45973</v>
      </c>
      <c r="C160" s="1" t="n">
        <v>46202</v>
      </c>
      <c r="D160" t="inlineStr">
        <is>
          <t>ÖSTERGÖTLANDS LÄN</t>
        </is>
      </c>
      <c r="E160" t="inlineStr">
        <is>
          <t>MJÖLBY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46521-2025</t>
        </is>
      </c>
      <c r="B161" s="1" t="n">
        <v>45926</v>
      </c>
      <c r="C161" s="1" t="n">
        <v>46202</v>
      </c>
      <c r="D161" t="inlineStr">
        <is>
          <t>ÖSTERGÖTLANDS LÄN</t>
        </is>
      </c>
      <c r="E161" t="inlineStr">
        <is>
          <t>MJÖLBY</t>
        </is>
      </c>
      <c r="F161" t="inlineStr">
        <is>
          <t>Sveaskog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57181-2025</t>
        </is>
      </c>
      <c r="B162" s="1" t="n">
        <v>45979</v>
      </c>
      <c r="C162" s="1" t="n">
        <v>46202</v>
      </c>
      <c r="D162" t="inlineStr">
        <is>
          <t>ÖSTERGÖTLANDS LÄN</t>
        </is>
      </c>
      <c r="E162" t="inlineStr">
        <is>
          <t>MJÖLBY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57194-2025</t>
        </is>
      </c>
      <c r="B163" s="1" t="n">
        <v>45979</v>
      </c>
      <c r="C163" s="1" t="n">
        <v>46202</v>
      </c>
      <c r="D163" t="inlineStr">
        <is>
          <t>ÖSTERGÖTLANDS LÄN</t>
        </is>
      </c>
      <c r="E163" t="inlineStr">
        <is>
          <t>MJÖLBY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24499-2025</t>
        </is>
      </c>
      <c r="B164" s="1" t="n">
        <v>45798</v>
      </c>
      <c r="C164" s="1" t="n">
        <v>46202</v>
      </c>
      <c r="D164" t="inlineStr">
        <is>
          <t>ÖSTERGÖTLANDS LÄN</t>
        </is>
      </c>
      <c r="E164" t="inlineStr">
        <is>
          <t>MJÖLBY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57942-2025</t>
        </is>
      </c>
      <c r="B165" s="1" t="n">
        <v>45982</v>
      </c>
      <c r="C165" s="1" t="n">
        <v>46202</v>
      </c>
      <c r="D165" t="inlineStr">
        <is>
          <t>ÖSTERGÖTLANDS LÄN</t>
        </is>
      </c>
      <c r="E165" t="inlineStr">
        <is>
          <t>MJÖLBY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58310-2025</t>
        </is>
      </c>
      <c r="B166" s="1" t="n">
        <v>45985</v>
      </c>
      <c r="C166" s="1" t="n">
        <v>46202</v>
      </c>
      <c r="D166" t="inlineStr">
        <is>
          <t>ÖSTERGÖTLANDS LÄN</t>
        </is>
      </c>
      <c r="E166" t="inlineStr">
        <is>
          <t>MJÖLBY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58321-2025</t>
        </is>
      </c>
      <c r="B167" s="1" t="n">
        <v>45985</v>
      </c>
      <c r="C167" s="1" t="n">
        <v>46202</v>
      </c>
      <c r="D167" t="inlineStr">
        <is>
          <t>ÖSTERGÖTLANDS LÄN</t>
        </is>
      </c>
      <c r="E167" t="inlineStr">
        <is>
          <t>MJÖLBY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58756-2025</t>
        </is>
      </c>
      <c r="B168" s="1" t="n">
        <v>45986</v>
      </c>
      <c r="C168" s="1" t="n">
        <v>46202</v>
      </c>
      <c r="D168" t="inlineStr">
        <is>
          <t>ÖSTERGÖTLANDS LÄN</t>
        </is>
      </c>
      <c r="E168" t="inlineStr">
        <is>
          <t>MJÖLBY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58761-2025</t>
        </is>
      </c>
      <c r="B169" s="1" t="n">
        <v>45986</v>
      </c>
      <c r="C169" s="1" t="n">
        <v>46202</v>
      </c>
      <c r="D169" t="inlineStr">
        <is>
          <t>ÖSTERGÖTLANDS LÄN</t>
        </is>
      </c>
      <c r="E169" t="inlineStr">
        <is>
          <t>MJÖLBY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59105-2025</t>
        </is>
      </c>
      <c r="B170" s="1" t="n">
        <v>45988</v>
      </c>
      <c r="C170" s="1" t="n">
        <v>46202</v>
      </c>
      <c r="D170" t="inlineStr">
        <is>
          <t>ÖSTERGÖTLANDS LÄN</t>
        </is>
      </c>
      <c r="E170" t="inlineStr">
        <is>
          <t>MJÖLBY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18740-2025</t>
        </is>
      </c>
      <c r="B171" s="1" t="n">
        <v>45763</v>
      </c>
      <c r="C171" s="1" t="n">
        <v>46202</v>
      </c>
      <c r="D171" t="inlineStr">
        <is>
          <t>ÖSTERGÖTLANDS LÄN</t>
        </is>
      </c>
      <c r="E171" t="inlineStr">
        <is>
          <t>MJÖLBY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62129-2025</t>
        </is>
      </c>
      <c r="B172" s="1" t="n">
        <v>46006</v>
      </c>
      <c r="C172" s="1" t="n">
        <v>46202</v>
      </c>
      <c r="D172" t="inlineStr">
        <is>
          <t>ÖSTERGÖTLANDS LÄN</t>
        </is>
      </c>
      <c r="E172" t="inlineStr">
        <is>
          <t>MJÖLBY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62123-2025</t>
        </is>
      </c>
      <c r="B173" s="1" t="n">
        <v>46006</v>
      </c>
      <c r="C173" s="1" t="n">
        <v>46202</v>
      </c>
      <c r="D173" t="inlineStr">
        <is>
          <t>ÖSTERGÖTLANDS LÄN</t>
        </is>
      </c>
      <c r="E173" t="inlineStr">
        <is>
          <t>MJÖLBY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62391-2025</t>
        </is>
      </c>
      <c r="B174" s="1" t="n">
        <v>46007</v>
      </c>
      <c r="C174" s="1" t="n">
        <v>46202</v>
      </c>
      <c r="D174" t="inlineStr">
        <is>
          <t>ÖSTERGÖTLANDS LÄN</t>
        </is>
      </c>
      <c r="E174" t="inlineStr">
        <is>
          <t>MJÖLBY</t>
        </is>
      </c>
      <c r="F174" t="inlineStr">
        <is>
          <t>Kyrkan</t>
        </is>
      </c>
      <c r="G174" t="n">
        <v>8.300000000000001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63445-2025</t>
        </is>
      </c>
      <c r="B175" s="1" t="n">
        <v>46013</v>
      </c>
      <c r="C175" s="1" t="n">
        <v>46202</v>
      </c>
      <c r="D175" t="inlineStr">
        <is>
          <t>ÖSTERGÖTLANDS LÄN</t>
        </is>
      </c>
      <c r="E175" t="inlineStr">
        <is>
          <t>MJÖLBY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4852-2026</t>
        </is>
      </c>
      <c r="B176" s="1" t="n">
        <v>46048</v>
      </c>
      <c r="C176" s="1" t="n">
        <v>46202</v>
      </c>
      <c r="D176" t="inlineStr">
        <is>
          <t>ÖSTERGÖTLANDS LÄN</t>
        </is>
      </c>
      <c r="E176" t="inlineStr">
        <is>
          <t>MJÖLBY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4837-2026</t>
        </is>
      </c>
      <c r="B177" s="1" t="n">
        <v>46048</v>
      </c>
      <c r="C177" s="1" t="n">
        <v>46202</v>
      </c>
      <c r="D177" t="inlineStr">
        <is>
          <t>ÖSTERGÖTLANDS LÄN</t>
        </is>
      </c>
      <c r="E177" t="inlineStr">
        <is>
          <t>MJÖLBY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11064-2026</t>
        </is>
      </c>
      <c r="B178" s="1" t="n">
        <v>46079</v>
      </c>
      <c r="C178" s="1" t="n">
        <v>46202</v>
      </c>
      <c r="D178" t="inlineStr">
        <is>
          <t>ÖSTERGÖTLANDS LÄN</t>
        </is>
      </c>
      <c r="E178" t="inlineStr">
        <is>
          <t>MJÖLBY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15032-2026</t>
        </is>
      </c>
      <c r="B179" s="1" t="n">
        <v>46104</v>
      </c>
      <c r="C179" s="1" t="n">
        <v>46202</v>
      </c>
      <c r="D179" t="inlineStr">
        <is>
          <t>ÖSTERGÖTLANDS LÄN</t>
        </is>
      </c>
      <c r="E179" t="inlineStr">
        <is>
          <t>MJÖLBY</t>
        </is>
      </c>
      <c r="F179" t="inlineStr">
        <is>
          <t>Övriga Aktiebolag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14928-2026</t>
        </is>
      </c>
      <c r="B180" s="1" t="n">
        <v>46104</v>
      </c>
      <c r="C180" s="1" t="n">
        <v>46202</v>
      </c>
      <c r="D180" t="inlineStr">
        <is>
          <t>ÖSTERGÖTLANDS LÄN</t>
        </is>
      </c>
      <c r="E180" t="inlineStr">
        <is>
          <t>MJÖLBY</t>
        </is>
      </c>
      <c r="F180" t="inlineStr">
        <is>
          <t>Övriga Aktiebolag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16110-2026</t>
        </is>
      </c>
      <c r="B181" s="1" t="n">
        <v>46108</v>
      </c>
      <c r="C181" s="1" t="n">
        <v>46202</v>
      </c>
      <c r="D181" t="inlineStr">
        <is>
          <t>ÖSTERGÖTLANDS LÄN</t>
        </is>
      </c>
      <c r="E181" t="inlineStr">
        <is>
          <t>MJÖLBY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16173-2026</t>
        </is>
      </c>
      <c r="B182" s="1" t="n">
        <v>46111</v>
      </c>
      <c r="C182" s="1" t="n">
        <v>46202</v>
      </c>
      <c r="D182" t="inlineStr">
        <is>
          <t>ÖSTERGÖTLANDS LÄN</t>
        </is>
      </c>
      <c r="E182" t="inlineStr">
        <is>
          <t>MJÖLBY</t>
        </is>
      </c>
      <c r="F182" t="inlineStr">
        <is>
          <t>Övriga Aktiebolag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17700-2026</t>
        </is>
      </c>
      <c r="B183" s="1" t="n">
        <v>46121</v>
      </c>
      <c r="C183" s="1" t="n">
        <v>46202</v>
      </c>
      <c r="D183" t="inlineStr">
        <is>
          <t>ÖSTERGÖTLANDS LÄN</t>
        </is>
      </c>
      <c r="E183" t="inlineStr">
        <is>
          <t>MJÖLBY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17699-2026</t>
        </is>
      </c>
      <c r="B184" s="1" t="n">
        <v>46121</v>
      </c>
      <c r="C184" s="1" t="n">
        <v>46202</v>
      </c>
      <c r="D184" t="inlineStr">
        <is>
          <t>ÖSTERGÖTLANDS LÄN</t>
        </is>
      </c>
      <c r="E184" t="inlineStr">
        <is>
          <t>MJÖLBY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24139-2026</t>
        </is>
      </c>
      <c r="B185" s="1" t="n">
        <v>46168</v>
      </c>
      <c r="C185" s="1" t="n">
        <v>46202</v>
      </c>
      <c r="D185" t="inlineStr">
        <is>
          <t>ÖSTERGÖTLANDS LÄN</t>
        </is>
      </c>
      <c r="E185" t="inlineStr">
        <is>
          <t>MJÖLBY</t>
        </is>
      </c>
      <c r="F185" t="inlineStr">
        <is>
          <t>Övriga Aktiebolag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18517-2026</t>
        </is>
      </c>
      <c r="B186" s="1" t="n">
        <v>46127</v>
      </c>
      <c r="C186" s="1" t="n">
        <v>46202</v>
      </c>
      <c r="D186" t="inlineStr">
        <is>
          <t>ÖSTERGÖTLANDS LÄN</t>
        </is>
      </c>
      <c r="E186" t="inlineStr">
        <is>
          <t>MJÖLBY</t>
        </is>
      </c>
      <c r="F186" t="inlineStr">
        <is>
          <t>Övriga Aktiebolag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24786-2026</t>
        </is>
      </c>
      <c r="B187" s="1" t="n">
        <v>46171</v>
      </c>
      <c r="C187" s="1" t="n">
        <v>46202</v>
      </c>
      <c r="D187" t="inlineStr">
        <is>
          <t>ÖSTERGÖTLANDS LÄN</t>
        </is>
      </c>
      <c r="E187" t="inlineStr">
        <is>
          <t>MJÖLBY</t>
        </is>
      </c>
      <c r="F187" t="inlineStr">
        <is>
          <t>Övriga Aktiebolag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24457-2026</t>
        </is>
      </c>
      <c r="B188" s="1" t="n">
        <v>46170</v>
      </c>
      <c r="C188" s="1" t="n">
        <v>46202</v>
      </c>
      <c r="D188" t="inlineStr">
        <is>
          <t>ÖSTERGÖTLANDS LÄN</t>
        </is>
      </c>
      <c r="E188" t="inlineStr">
        <is>
          <t>MJÖLBY</t>
        </is>
      </c>
      <c r="F188" t="inlineStr">
        <is>
          <t>Övriga Aktiebolag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24888-2026</t>
        </is>
      </c>
      <c r="B189" s="1" t="n">
        <v>46174</v>
      </c>
      <c r="C189" s="1" t="n">
        <v>46202</v>
      </c>
      <c r="D189" t="inlineStr">
        <is>
          <t>ÖSTERGÖTLANDS LÄN</t>
        </is>
      </c>
      <c r="E189" t="inlineStr">
        <is>
          <t>MJÖLBY</t>
        </is>
      </c>
      <c r="F189" t="inlineStr">
        <is>
          <t>Övriga Aktiebolag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24900-2026</t>
        </is>
      </c>
      <c r="B190" s="1" t="n">
        <v>46174</v>
      </c>
      <c r="C190" s="1" t="n">
        <v>46202</v>
      </c>
      <c r="D190" t="inlineStr">
        <is>
          <t>ÖSTERGÖTLANDS LÄN</t>
        </is>
      </c>
      <c r="E190" t="inlineStr">
        <is>
          <t>MJÖLBY</t>
        </is>
      </c>
      <c r="F190" t="inlineStr">
        <is>
          <t>Övriga Aktiebolag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25031-2026</t>
        </is>
      </c>
      <c r="B191" s="1" t="n">
        <v>46174</v>
      </c>
      <c r="C191" s="1" t="n">
        <v>46202</v>
      </c>
      <c r="D191" t="inlineStr">
        <is>
          <t>ÖSTERGÖTLANDS LÄN</t>
        </is>
      </c>
      <c r="E191" t="inlineStr">
        <is>
          <t>MJÖLBY</t>
        </is>
      </c>
      <c r="F191" t="inlineStr">
        <is>
          <t>Övriga Aktiebolag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24894-2026</t>
        </is>
      </c>
      <c r="B192" s="1" t="n">
        <v>46174</v>
      </c>
      <c r="C192" s="1" t="n">
        <v>46202</v>
      </c>
      <c r="D192" t="inlineStr">
        <is>
          <t>ÖSTERGÖTLANDS LÄN</t>
        </is>
      </c>
      <c r="E192" t="inlineStr">
        <is>
          <t>MJÖLBY</t>
        </is>
      </c>
      <c r="F192" t="inlineStr">
        <is>
          <t>Övriga Aktiebolag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24896-2026</t>
        </is>
      </c>
      <c r="B193" s="1" t="n">
        <v>46174</v>
      </c>
      <c r="C193" s="1" t="n">
        <v>46202</v>
      </c>
      <c r="D193" t="inlineStr">
        <is>
          <t>ÖSTERGÖTLANDS LÄN</t>
        </is>
      </c>
      <c r="E193" t="inlineStr">
        <is>
          <t>MJÖLBY</t>
        </is>
      </c>
      <c r="F193" t="inlineStr">
        <is>
          <t>Övriga Aktiebolag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24903-2026</t>
        </is>
      </c>
      <c r="B194" s="1" t="n">
        <v>46174</v>
      </c>
      <c r="C194" s="1" t="n">
        <v>46202</v>
      </c>
      <c r="D194" t="inlineStr">
        <is>
          <t>ÖSTERGÖTLANDS LÄN</t>
        </is>
      </c>
      <c r="E194" t="inlineStr">
        <is>
          <t>MJÖLBY</t>
        </is>
      </c>
      <c r="F194" t="inlineStr">
        <is>
          <t>Övriga Aktiebolag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25503-2026</t>
        </is>
      </c>
      <c r="B195" s="1" t="n">
        <v>46177</v>
      </c>
      <c r="C195" s="1" t="n">
        <v>46202</v>
      </c>
      <c r="D195" t="inlineStr">
        <is>
          <t>ÖSTERGÖTLANDS LÄN</t>
        </is>
      </c>
      <c r="E195" t="inlineStr">
        <is>
          <t>MJÖLBY</t>
        </is>
      </c>
      <c r="F195" t="inlineStr">
        <is>
          <t>Övriga Aktiebolag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29580-2025</t>
        </is>
      </c>
      <c r="B196" s="1" t="n">
        <v>45825</v>
      </c>
      <c r="C196" s="1" t="n">
        <v>46202</v>
      </c>
      <c r="D196" t="inlineStr">
        <is>
          <t>ÖSTERGÖTLANDS LÄN</t>
        </is>
      </c>
      <c r="E196" t="inlineStr">
        <is>
          <t>MJÖLBY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27251-2025</t>
        </is>
      </c>
      <c r="B197" s="1" t="n">
        <v>45812</v>
      </c>
      <c r="C197" s="1" t="n">
        <v>46202</v>
      </c>
      <c r="D197" t="inlineStr">
        <is>
          <t>ÖSTERGÖTLANDS LÄN</t>
        </is>
      </c>
      <c r="E197" t="inlineStr">
        <is>
          <t>MJÖLBY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41105-2025</t>
        </is>
      </c>
      <c r="B198" s="1" t="n">
        <v>45898</v>
      </c>
      <c r="C198" s="1" t="n">
        <v>46202</v>
      </c>
      <c r="D198" t="inlineStr">
        <is>
          <t>ÖSTERGÖTLANDS LÄN</t>
        </is>
      </c>
      <c r="E198" t="inlineStr">
        <is>
          <t>MJÖLBY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39965-2025</t>
        </is>
      </c>
      <c r="B199" s="1" t="n">
        <v>45892</v>
      </c>
      <c r="C199" s="1" t="n">
        <v>46202</v>
      </c>
      <c r="D199" t="inlineStr">
        <is>
          <t>ÖSTERGÖTLANDS LÄN</t>
        </is>
      </c>
      <c r="E199" t="inlineStr">
        <is>
          <t>MJÖLBY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28321-2025</t>
        </is>
      </c>
      <c r="B200" s="1" t="n">
        <v>45818</v>
      </c>
      <c r="C200" s="1" t="n">
        <v>46202</v>
      </c>
      <c r="D200" t="inlineStr">
        <is>
          <t>ÖSTERGÖTLANDS LÄN</t>
        </is>
      </c>
      <c r="E200" t="inlineStr">
        <is>
          <t>MJÖLBY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27255-2025</t>
        </is>
      </c>
      <c r="B201" s="1" t="n">
        <v>45812</v>
      </c>
      <c r="C201" s="1" t="n">
        <v>46202</v>
      </c>
      <c r="D201" t="inlineStr">
        <is>
          <t>ÖSTERGÖTLANDS LÄN</t>
        </is>
      </c>
      <c r="E201" t="inlineStr">
        <is>
          <t>MJÖLBY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20357-2026</t>
        </is>
      </c>
      <c r="B202" s="1" t="n">
        <v>46139</v>
      </c>
      <c r="C202" s="1" t="n">
        <v>46202</v>
      </c>
      <c r="D202" t="inlineStr">
        <is>
          <t>ÖSTERGÖTLANDS LÄN</t>
        </is>
      </c>
      <c r="E202" t="inlineStr">
        <is>
          <t>MJÖLBY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31010-2022</t>
        </is>
      </c>
      <c r="B203" s="1" t="n">
        <v>44768</v>
      </c>
      <c r="C203" s="1" t="n">
        <v>46202</v>
      </c>
      <c r="D203" t="inlineStr">
        <is>
          <t>ÖSTERGÖTLANDS LÄN</t>
        </is>
      </c>
      <c r="E203" t="inlineStr">
        <is>
          <t>MJÖLBY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62447-2025</t>
        </is>
      </c>
      <c r="B204" s="1" t="n">
        <v>46007</v>
      </c>
      <c r="C204" s="1" t="n">
        <v>46202</v>
      </c>
      <c r="D204" t="inlineStr">
        <is>
          <t>ÖSTERGÖTLANDS LÄN</t>
        </is>
      </c>
      <c r="E204" t="inlineStr">
        <is>
          <t>MJÖLBY</t>
        </is>
      </c>
      <c r="F204" t="inlineStr">
        <is>
          <t>Kommuner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27126-2026</t>
        </is>
      </c>
      <c r="B205" s="1" t="n">
        <v>46188</v>
      </c>
      <c r="C205" s="1" t="n">
        <v>46202</v>
      </c>
      <c r="D205" t="inlineStr">
        <is>
          <t>ÖSTERGÖTLANDS LÄN</t>
        </is>
      </c>
      <c r="E205" t="inlineStr">
        <is>
          <t>MJÖLBY</t>
        </is>
      </c>
      <c r="F205" t="inlineStr">
        <is>
          <t>Övriga Aktiebolag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27137-2026</t>
        </is>
      </c>
      <c r="B206" s="1" t="n">
        <v>46188</v>
      </c>
      <c r="C206" s="1" t="n">
        <v>46202</v>
      </c>
      <c r="D206" t="inlineStr">
        <is>
          <t>ÖSTERGÖTLANDS LÄN</t>
        </is>
      </c>
      <c r="E206" t="inlineStr">
        <is>
          <t>MJÖLBY</t>
        </is>
      </c>
      <c r="F206" t="inlineStr">
        <is>
          <t>Övriga Aktiebolag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21518-2026</t>
        </is>
      </c>
      <c r="B207" s="1" t="n">
        <v>46148</v>
      </c>
      <c r="C207" s="1" t="n">
        <v>46202</v>
      </c>
      <c r="D207" t="inlineStr">
        <is>
          <t>ÖSTERGÖTLANDS LÄN</t>
        </is>
      </c>
      <c r="E207" t="inlineStr">
        <is>
          <t>MJÖLBY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32581-2025</t>
        </is>
      </c>
      <c r="B208" s="1" t="n">
        <v>45838</v>
      </c>
      <c r="C208" s="1" t="n">
        <v>46202</v>
      </c>
      <c r="D208" t="inlineStr">
        <is>
          <t>ÖSTERGÖTLANDS LÄN</t>
        </is>
      </c>
      <c r="E208" t="inlineStr">
        <is>
          <t>MJÖLBY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28131-2026</t>
        </is>
      </c>
      <c r="B209" s="1" t="n">
        <v>46195</v>
      </c>
      <c r="C209" s="1" t="n">
        <v>46202</v>
      </c>
      <c r="D209" t="inlineStr">
        <is>
          <t>ÖSTERGÖTLANDS LÄN</t>
        </is>
      </c>
      <c r="E209" t="inlineStr">
        <is>
          <t>MJÖLBY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2073-2026</t>
        </is>
      </c>
      <c r="B210" s="1" t="n">
        <v>46036</v>
      </c>
      <c r="C210" s="1" t="n">
        <v>46202</v>
      </c>
      <c r="D210" t="inlineStr">
        <is>
          <t>ÖSTERGÖTLANDS LÄN</t>
        </is>
      </c>
      <c r="E210" t="inlineStr">
        <is>
          <t>MJÖLBY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28525-2026</t>
        </is>
      </c>
      <c r="B211" s="1" t="n">
        <v>46197</v>
      </c>
      <c r="C211" s="1" t="n">
        <v>46202</v>
      </c>
      <c r="D211" t="inlineStr">
        <is>
          <t>ÖSTERGÖTLANDS LÄN</t>
        </is>
      </c>
      <c r="E211" t="inlineStr">
        <is>
          <t>MJÖLBY</t>
        </is>
      </c>
      <c r="F211" t="inlineStr">
        <is>
          <t>Övriga Aktiebolag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>
      <c r="A212" t="inlineStr">
        <is>
          <t>A 28652-2026</t>
        </is>
      </c>
      <c r="B212" s="1" t="n">
        <v>46198</v>
      </c>
      <c r="C212" s="1" t="n">
        <v>46202</v>
      </c>
      <c r="D212" t="inlineStr">
        <is>
          <t>ÖSTERGÖTLANDS LÄN</t>
        </is>
      </c>
      <c r="E212" t="inlineStr">
        <is>
          <t>MJÖLBY</t>
        </is>
      </c>
      <c r="F212" t="inlineStr">
        <is>
          <t>Övriga Aktiebolag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2026-06-29T00:54:36Z</dcterms:created>
  <dcterms:modified xmlns:dcterms="http://purl.org/dc/terms/" xmlns:xsi="http://www.w3.org/2001/XMLSchema-instance" xsi:type="dcterms:W3CDTF">2026-06-29T00:54:37Z</dcterms:modified>
</cp:coreProperties>
</file>