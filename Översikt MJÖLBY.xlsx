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67603-2021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44524</v>
      </c>
      <c r="E2" s="1" t="n">
        <v>46320</v>
      </c>
      <c r="F2" t="inlineStr">
        <is>
          <t>ÖSTERGÖTLANDS LÄN</t>
        </is>
      </c>
      <c r="G2" t="inlineStr">
        <is>
          <t>MJÖLBY</t>
        </is>
      </c>
      <c r="I2" t="n">
        <v>5.1</v>
      </c>
      <c r="J2" t="n">
        <v>1</v>
      </c>
      <c r="K2" t="n">
        <v>3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2</v>
      </c>
      <c r="R2" t="n">
        <v>1</v>
      </c>
      <c r="S2" t="n">
        <v>5</v>
      </c>
      <c r="T2" t="n">
        <v>7</v>
      </c>
      <c r="U2" t="n">
        <v>0</v>
      </c>
      <c r="V2" s="2" t="inlineStr">
        <is>
          <t>Backsippa
Småfruktigt blågryn
Gullfingersvamp
Plattad jordtunga
Svart jordtunga</t>
        </is>
      </c>
      <c r="W2">
        <f>HYPERLINK("https://klasma.github.io/Logging_0586/artfynd/A 67603-2021 artfynd.xlsx", "A 67603-2021")</f>
        <v/>
      </c>
      <c r="X2">
        <f>HYPERLINK("https://klasma.github.io/Logging_0586/kartor/A 67603-2021 karta.png", "A 67603-2021")</f>
        <v/>
      </c>
      <c r="Y2">
        <f>HYPERLINK("https://klasma.github.io/Logging_0586/kartor_geotiff/A 67603-2021 georefererad karta.tif", "A 67603-2021")</f>
        <v/>
      </c>
      <c r="AA2">
        <f>HYPERLINK("https://klasma.github.io/Logging_0586/klagomål/A 67603-2021 FSC-klagomål.docx", "A 67603-2021")</f>
        <v/>
      </c>
      <c r="AB2">
        <f>HYPERLINK("https://klasma.github.io/Logging_0586/klagomålsmail/A 67603-2021 FSC-klagomål mail.docx", "A 67603-2021")</f>
        <v/>
      </c>
      <c r="AC2">
        <f>HYPERLINK("https://klasma.github.io/Logging_0586/tillsyn/A 67603-2021 tillsynsbegäran.docx", "A 67603-2021")</f>
        <v/>
      </c>
      <c r="AD2">
        <f>HYPERLINK("https://klasma.github.io/Logging_0586/tillsynsmail/A 67603-2021 tillsynsbegäran mail.docx", "A 67603-2021")</f>
        <v/>
      </c>
    </row>
    <row r="3" ht="15" customHeight="1">
      <c r="A3" t="inlineStr">
        <is>
          <t>A 31169-2026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46216</v>
      </c>
      <c r="E3" s="1" t="n">
        <v>46320</v>
      </c>
      <c r="F3" t="inlineStr">
        <is>
          <t>ÖSTERGÖTLANDS LÄN</t>
        </is>
      </c>
      <c r="G3" t="inlineStr">
        <is>
          <t>MJÖLBY</t>
        </is>
      </c>
      <c r="I3" t="n">
        <v>19.2</v>
      </c>
      <c r="J3" t="n">
        <v>0</v>
      </c>
      <c r="K3" t="n">
        <v>1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0</v>
      </c>
      <c r="S3" t="n">
        <v>3</v>
      </c>
      <c r="T3" t="n">
        <v>3</v>
      </c>
      <c r="U3" t="n">
        <v>0</v>
      </c>
      <c r="V3" s="2" t="inlineStr">
        <is>
          <t>Sommarfibbla
Sårläka
Tibast</t>
        </is>
      </c>
      <c r="W3">
        <f>HYPERLINK("https://klasma.github.io/Logging_0586/artfynd/A 31169-2026 artfynd.xlsx", "A 31169-2026")</f>
        <v/>
      </c>
      <c r="X3">
        <f>HYPERLINK("https://klasma.github.io/Logging_0586/kartor/A 31169-2026 karta.png", "A 31169-2026")</f>
        <v/>
      </c>
      <c r="Y3">
        <f>HYPERLINK("https://klasma.github.io/Logging_0586/kartor_geotiff/A 31169-2026 georefererad karta.tif", "A 31169-2026")</f>
        <v/>
      </c>
      <c r="AA3">
        <f>HYPERLINK("https://klasma.github.io/Logging_0586/klagomål/A 31169-2026 FSC-klagomål.docx", "A 31169-2026")</f>
        <v/>
      </c>
      <c r="AB3">
        <f>HYPERLINK("https://klasma.github.io/Logging_0586/klagomålsmail/A 31169-2026 FSC-klagomål mail.docx", "A 31169-2026")</f>
        <v/>
      </c>
      <c r="AC3">
        <f>HYPERLINK("https://klasma.github.io/Logging_0586/tillsyn/A 31169-2026 tillsynsbegäran.docx", "A 31169-2026")</f>
        <v/>
      </c>
      <c r="AD3">
        <f>HYPERLINK("https://klasma.github.io/Logging_0586/tillsynsmail/A 31169-2026 tillsynsbegäran mail.docx", "A 31169-2026")</f>
        <v/>
      </c>
    </row>
    <row r="4" ht="15" customHeight="1">
      <c r="A4" t="inlineStr">
        <is>
          <t>S 2532-2022</t>
        </is>
      </c>
      <c r="B4" t="inlineStr">
        <is>
          <t>samrådsanmälan</t>
        </is>
      </c>
      <c r="C4" t="inlineStr">
        <is>
          <t>Annan skogsbruksåtgärd</t>
        </is>
      </c>
      <c r="D4" s="1" t="n">
        <v>44695</v>
      </c>
      <c r="E4" s="1" t="n">
        <v>46320</v>
      </c>
      <c r="F4" t="inlineStr">
        <is>
          <t>ÖSTERGÖTLANDS LÄN</t>
        </is>
      </c>
      <c r="G4" t="inlineStr">
        <is>
          <t>MJÖLBY</t>
        </is>
      </c>
      <c r="I4" t="n">
        <v>0.1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2</v>
      </c>
      <c r="T4" t="n">
        <v>2</v>
      </c>
      <c r="U4" t="n">
        <v>0</v>
      </c>
      <c r="V4" s="2" t="inlineStr">
        <is>
          <t>Kattfotslav
Flagellkvastmossa</t>
        </is>
      </c>
      <c r="W4">
        <f>HYPERLINK("https://klasma.github.io/Logging_0586/artfynd/S 2532-2022 artfynd.xlsx", "S 2532-2022")</f>
        <v/>
      </c>
      <c r="X4">
        <f>HYPERLINK("https://klasma.github.io/Logging_0586/kartor/S 2532-2022 karta.png", "S 2532-2022")</f>
        <v/>
      </c>
      <c r="Y4">
        <f>HYPERLINK("https://klasma.github.io/Logging_0586/kartor_geotiff/S 2532-2022 georefererad karta.tif", "S 2532-2022")</f>
        <v/>
      </c>
      <c r="AA4">
        <f>HYPERLINK("https://klasma.github.io/Logging_0586/klagomål/S 2532-2022 FSC-klagomål.docx", "S 2532-2022")</f>
        <v/>
      </c>
      <c r="AB4">
        <f>HYPERLINK("https://klasma.github.io/Logging_0586/klagomålsmail/S 2532-2022 FSC-klagomål mail.docx", "S 2532-2022")</f>
        <v/>
      </c>
      <c r="AC4">
        <f>HYPERLINK("https://klasma.github.io/Logging_0586/tillsyn/S 2532-2022 tillsynsbegäran.docx", "S 2532-2022")</f>
        <v/>
      </c>
      <c r="AD4">
        <f>HYPERLINK("https://klasma.github.io/Logging_0586/tillsynsmail/S 2532-2022 tillsynsbegäran mail.docx", "S 2532-2022")</f>
        <v/>
      </c>
    </row>
    <row r="5" ht="15" customHeight="1">
      <c r="A5" t="inlineStr">
        <is>
          <t>A 7564-2025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45705</v>
      </c>
      <c r="E5" s="1" t="n">
        <v>46320</v>
      </c>
      <c r="F5" t="inlineStr">
        <is>
          <t>ÖSTERGÖTLANDS LÄN</t>
        </is>
      </c>
      <c r="G5" t="inlineStr">
        <is>
          <t>MJÖLBY</t>
        </is>
      </c>
      <c r="I5" t="n">
        <v>1.1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4</v>
      </c>
      <c r="U5" t="n">
        <v>4</v>
      </c>
      <c r="V5" s="2" t="inlineStr">
        <is>
          <t>Solvända</t>
        </is>
      </c>
      <c r="W5">
        <f>HYPERLINK("https://klasma.github.io/Logging_0586/artfynd/A 7564-2025 artfynd.xlsx", "A 7564-2025")</f>
        <v/>
      </c>
      <c r="X5">
        <f>HYPERLINK("https://klasma.github.io/Logging_0586/kartor/A 7564-2025 karta.png", "A 7564-2025")</f>
        <v/>
      </c>
      <c r="Y5">
        <f>HYPERLINK("https://klasma.github.io/Logging_0586/kartor_geotiff/A 7564-2025 georefererad karta.tif", "A 7564-2025")</f>
        <v/>
      </c>
      <c r="AA5">
        <f>HYPERLINK("https://klasma.github.io/Logging_0586/klagomål/A 7564-2025 FSC-klagomål.docx", "A 7564-2025")</f>
        <v/>
      </c>
      <c r="AB5">
        <f>HYPERLINK("https://klasma.github.io/Logging_0586/klagomålsmail/A 7564-2025 FSC-klagomål mail.docx", "A 7564-2025")</f>
        <v/>
      </c>
      <c r="AC5">
        <f>HYPERLINK("https://klasma.github.io/Logging_0586/tillsyn/A 7564-2025 tillsynsbegäran.docx", "A 7564-2025")</f>
        <v/>
      </c>
      <c r="AD5">
        <f>HYPERLINK("https://klasma.github.io/Logging_0586/tillsynsmail/A 7564-2025 tillsynsbegäran mail.docx", "A 7564-2025")</f>
        <v/>
      </c>
    </row>
    <row r="6" ht="15" customHeight="1">
      <c r="A6" t="inlineStr">
        <is>
          <t>A 41274-2025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45898</v>
      </c>
      <c r="E6" s="1" t="n">
        <v>46320</v>
      </c>
      <c r="F6" t="inlineStr">
        <is>
          <t>ÖSTERGÖTLANDS LÄN</t>
        </is>
      </c>
      <c r="G6" t="inlineStr">
        <is>
          <t>MJÖLBY</t>
        </is>
      </c>
      <c r="I6" t="n">
        <v>2.9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s="2" t="inlineStr">
        <is>
          <t>Igelkott</t>
        </is>
      </c>
      <c r="W6">
        <f>HYPERLINK("https://klasma.github.io/Logging_0586/artfynd/A 41274-2025 artfynd.xlsx", "A 41274-2025")</f>
        <v/>
      </c>
      <c r="X6">
        <f>HYPERLINK("https://klasma.github.io/Logging_0586/kartor/A 41274-2025 karta.png", "A 41274-2025")</f>
        <v/>
      </c>
      <c r="Y6">
        <f>HYPERLINK("https://klasma.github.io/Logging_0586/kartor_geotiff/A 41274-2025 georefererad karta.tif", "A 41274-2025")</f>
        <v/>
      </c>
      <c r="AA6">
        <f>HYPERLINK("https://klasma.github.io/Logging_0586/klagomål/A 41274-2025 FSC-klagomål.docx", "A 41274-2025")</f>
        <v/>
      </c>
      <c r="AB6">
        <f>HYPERLINK("https://klasma.github.io/Logging_0586/klagomålsmail/A 41274-2025 FSC-klagomål mail.docx", "A 41274-2025")</f>
        <v/>
      </c>
      <c r="AC6">
        <f>HYPERLINK("https://klasma.github.io/Logging_0586/tillsyn/A 41274-2025 tillsynsbegäran.docx", "A 41274-2025")</f>
        <v/>
      </c>
      <c r="AD6">
        <f>HYPERLINK("https://klasma.github.io/Logging_0586/tillsynsmail/A 41274-2025 tillsynsbegäran mail.docx", "A 41274-2025")</f>
        <v/>
      </c>
    </row>
    <row r="7" ht="15" customHeight="1">
      <c r="A7" t="inlineStr">
        <is>
          <t>A 13567-2025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45736</v>
      </c>
      <c r="E7" s="1" t="n">
        <v>46320</v>
      </c>
      <c r="F7" t="inlineStr">
        <is>
          <t>ÖSTERGÖTLANDS LÄN</t>
        </is>
      </c>
      <c r="G7" t="inlineStr">
        <is>
          <t>MJÖLBY</t>
        </is>
      </c>
      <c r="I7" t="n">
        <v>4.1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</v>
      </c>
      <c r="T7" t="n">
        <v>1</v>
      </c>
      <c r="U7" t="n">
        <v>0</v>
      </c>
      <c r="V7" s="2" t="inlineStr">
        <is>
          <t>Klubbsprötad bastardsvärmare</t>
        </is>
      </c>
      <c r="W7">
        <f>HYPERLINK("https://klasma.github.io/Logging_0586/artfynd/A 13567-2025 artfynd.xlsx", "A 13567-2025")</f>
        <v/>
      </c>
      <c r="X7">
        <f>HYPERLINK("https://klasma.github.io/Logging_0586/kartor/A 13567-2025 karta.png", "A 13567-2025")</f>
        <v/>
      </c>
      <c r="Y7">
        <f>HYPERLINK("https://klasma.github.io/Logging_0586/kartor_geotiff/A 13567-2025 georefererad karta.tif", "A 13567-2025")</f>
        <v/>
      </c>
      <c r="AA7">
        <f>HYPERLINK("https://klasma.github.io/Logging_0586/klagomål/A 13567-2025 FSC-klagomål.docx", "A 13567-2025")</f>
        <v/>
      </c>
      <c r="AB7">
        <f>HYPERLINK("https://klasma.github.io/Logging_0586/klagomålsmail/A 13567-2025 FSC-klagomål mail.docx", "A 13567-2025")</f>
        <v/>
      </c>
      <c r="AC7">
        <f>HYPERLINK("https://klasma.github.io/Logging_0586/tillsyn/A 13567-2025 tillsynsbegäran.docx", "A 13567-2025")</f>
        <v/>
      </c>
      <c r="AD7">
        <f>HYPERLINK("https://klasma.github.io/Logging_0586/tillsynsmail/A 13567-2025 tillsynsbegäran mail.docx", "A 13567-2025")</f>
        <v/>
      </c>
    </row>
    <row r="8" ht="15" customHeight="1">
      <c r="A8" t="inlineStr">
        <is>
          <t>A 46156-2025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45924</v>
      </c>
      <c r="E8" s="1" t="n">
        <v>46320</v>
      </c>
      <c r="F8" t="inlineStr">
        <is>
          <t>ÖSTERGÖTLANDS LÄN</t>
        </is>
      </c>
      <c r="G8" t="inlineStr">
        <is>
          <t>MJÖLBY</t>
        </is>
      </c>
      <c r="I8" t="n">
        <v>3.7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0</v>
      </c>
      <c r="V8" s="2" t="inlineStr">
        <is>
          <t>Tvåblad</t>
        </is>
      </c>
      <c r="W8">
        <f>HYPERLINK("https://klasma.github.io/Logging_0586/artfynd/A 46156-2025 artfynd.xlsx", "A 46156-2025")</f>
        <v/>
      </c>
      <c r="X8">
        <f>HYPERLINK("https://klasma.github.io/Logging_0586/kartor/A 46156-2025 karta.png", "A 46156-2025")</f>
        <v/>
      </c>
      <c r="Y8">
        <f>HYPERLINK("https://klasma.github.io/Logging_0586/kartor_geotiff/A 46156-2025 georefererad karta.tif", "A 46156-2025")</f>
        <v/>
      </c>
      <c r="AA8">
        <f>HYPERLINK("https://klasma.github.io/Logging_0586/klagomål/A 46156-2025 FSC-klagomål.docx", "A 46156-2025")</f>
        <v/>
      </c>
      <c r="AB8">
        <f>HYPERLINK("https://klasma.github.io/Logging_0586/klagomålsmail/A 46156-2025 FSC-klagomål mail.docx", "A 46156-2025")</f>
        <v/>
      </c>
      <c r="AC8">
        <f>HYPERLINK("https://klasma.github.io/Logging_0586/tillsyn/A 46156-2025 tillsynsbegäran.docx", "A 46156-2025")</f>
        <v/>
      </c>
      <c r="AD8">
        <f>HYPERLINK("https://klasma.github.io/Logging_0586/tillsynsmail/A 46156-2025 tillsynsbegäran mail.docx", "A 46156-2025")</f>
        <v/>
      </c>
    </row>
    <row r="9" ht="15" customHeight="1">
      <c r="A9" t="inlineStr">
        <is>
          <t>A 46123-2025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45924</v>
      </c>
      <c r="E9" s="1" t="n">
        <v>46320</v>
      </c>
      <c r="F9" t="inlineStr">
        <is>
          <t>ÖSTERGÖTLANDS LÄN</t>
        </is>
      </c>
      <c r="G9" t="inlineStr">
        <is>
          <t>MJÖLBY</t>
        </is>
      </c>
      <c r="I9" t="n">
        <v>5.6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s="2" t="inlineStr">
        <is>
          <t>Knärot</t>
        </is>
      </c>
      <c r="W9">
        <f>HYPERLINK("https://klasma.github.io/Logging_0586/artfynd/A 46123-2025 artfynd.xlsx", "A 46123-2025")</f>
        <v/>
      </c>
      <c r="X9">
        <f>HYPERLINK("https://klasma.github.io/Logging_0586/kartor/A 46123-2025 karta.png", "A 46123-2025")</f>
        <v/>
      </c>
      <c r="Y9">
        <f>HYPERLINK("https://klasma.github.io/Logging_0586/kartor_geotiff/A 46123-2025 georefererad karta.tif", "A 46123-2025")</f>
        <v/>
      </c>
      <c r="Z9">
        <f>HYPERLINK("https://klasma.github.io/Logging_0586/knärot/A 46123-2025 karta knärot.png", "A 46123-2025")</f>
        <v/>
      </c>
      <c r="AA9">
        <f>HYPERLINK("https://klasma.github.io/Logging_0586/klagomål/A 46123-2025 FSC-klagomål.docx", "A 46123-2025")</f>
        <v/>
      </c>
      <c r="AB9">
        <f>HYPERLINK("https://klasma.github.io/Logging_0586/klagomålsmail/A 46123-2025 FSC-klagomål mail.docx", "A 46123-2025")</f>
        <v/>
      </c>
      <c r="AC9">
        <f>HYPERLINK("https://klasma.github.io/Logging_0586/tillsyn/A 46123-2025 tillsynsbegäran.docx", "A 46123-2025")</f>
        <v/>
      </c>
      <c r="AD9">
        <f>HYPERLINK("https://klasma.github.io/Logging_0586/tillsynsmail/A 46123-2025 tillsynsbegäran mail.docx", "A 46123-2025")</f>
        <v/>
      </c>
    </row>
    <row r="10" ht="15" customHeight="1">
      <c r="A10" t="inlineStr">
        <is>
          <t>A 46522-2025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45926</v>
      </c>
      <c r="E10" s="1" t="n">
        <v>46320</v>
      </c>
      <c r="F10" t="inlineStr">
        <is>
          <t>ÖSTERGÖTLANDS LÄN</t>
        </is>
      </c>
      <c r="G10" t="inlineStr">
        <is>
          <t>MJÖLBY</t>
        </is>
      </c>
      <c r="H10" t="inlineStr">
        <is>
          <t>Sveaskog</t>
        </is>
      </c>
      <c r="I10" t="n">
        <v>1.2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s="2" t="inlineStr">
        <is>
          <t>Tibast</t>
        </is>
      </c>
      <c r="W10">
        <f>HYPERLINK("https://klasma.github.io/Logging_0586/artfynd/A 46522-2025 artfynd.xlsx", "A 46522-2025")</f>
        <v/>
      </c>
      <c r="X10">
        <f>HYPERLINK("https://klasma.github.io/Logging_0586/kartor/A 46522-2025 karta.png", "A 46522-2025")</f>
        <v/>
      </c>
      <c r="Y10">
        <f>HYPERLINK("https://klasma.github.io/Logging_0586/kartor_geotiff/A 46522-2025 georefererad karta.tif", "A 46522-2025")</f>
        <v/>
      </c>
      <c r="AA10">
        <f>HYPERLINK("https://klasma.github.io/Logging_0586/klagomål/A 46522-2025 FSC-klagomål.docx", "A 46522-2025")</f>
        <v/>
      </c>
      <c r="AB10">
        <f>HYPERLINK("https://klasma.github.io/Logging_0586/klagomålsmail/A 46522-2025 FSC-klagomål mail.docx", "A 46522-2025")</f>
        <v/>
      </c>
      <c r="AC10">
        <f>HYPERLINK("https://klasma.github.io/Logging_0586/tillsyn/A 46522-2025 tillsynsbegäran.docx", "A 46522-2025")</f>
        <v/>
      </c>
      <c r="AD10">
        <f>HYPERLINK("https://klasma.github.io/Logging_0586/tillsynsmail/A 46522-2025 tillsynsbegäran mail.docx", "A 46522-2025")</f>
        <v/>
      </c>
    </row>
    <row r="11" ht="15" customHeight="1">
      <c r="A11" t="inlineStr">
        <is>
          <t>A 22327-2024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45446</v>
      </c>
      <c r="E11" s="1" t="n">
        <v>46320</v>
      </c>
      <c r="F11" t="inlineStr">
        <is>
          <t>ÖSTERGÖTLANDS LÄN</t>
        </is>
      </c>
      <c r="G11" t="inlineStr">
        <is>
          <t>MJÖLBY</t>
        </is>
      </c>
      <c r="I11" t="n">
        <v>1.8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1</v>
      </c>
      <c r="U11" t="n">
        <v>0</v>
      </c>
      <c r="V11" s="2" t="inlineStr">
        <is>
          <t>Svinrot</t>
        </is>
      </c>
      <c r="W11">
        <f>HYPERLINK("https://klasma.github.io/Logging_0586/artfynd/A 22327-2024 artfynd.xlsx", "A 22327-2024")</f>
        <v/>
      </c>
      <c r="X11">
        <f>HYPERLINK("https://klasma.github.io/Logging_0586/kartor/A 22327-2024 karta.png", "A 22327-2024")</f>
        <v/>
      </c>
      <c r="Y11">
        <f>HYPERLINK("https://klasma.github.io/Logging_0586/kartor_geotiff/A 22327-2024 georefererad karta.tif", "A 22327-2024")</f>
        <v/>
      </c>
      <c r="AA11">
        <f>HYPERLINK("https://klasma.github.io/Logging_0586/klagomål/A 22327-2024 FSC-klagomål.docx", "A 22327-2024")</f>
        <v/>
      </c>
      <c r="AB11">
        <f>HYPERLINK("https://klasma.github.io/Logging_0586/klagomålsmail/A 22327-2024 FSC-klagomål mail.docx", "A 22327-2024")</f>
        <v/>
      </c>
      <c r="AC11">
        <f>HYPERLINK("https://klasma.github.io/Logging_0586/tillsyn/A 22327-2024 tillsynsbegäran.docx", "A 22327-2024")</f>
        <v/>
      </c>
      <c r="AD11">
        <f>HYPERLINK("https://klasma.github.io/Logging_0586/tillsynsmail/A 22327-2024 tillsynsbegäran mail.docx", "A 22327-2024")</f>
        <v/>
      </c>
    </row>
    <row r="12" ht="15" customHeight="1">
      <c r="A12" t="inlineStr">
        <is>
          <t>A 33532-2024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45519</v>
      </c>
      <c r="E12" s="1" t="n">
        <v>46320</v>
      </c>
      <c r="F12" t="inlineStr">
        <is>
          <t>ÖSTERGÖTLANDS LÄN</t>
        </is>
      </c>
      <c r="G12" t="inlineStr">
        <is>
          <t>MJÖLBY</t>
        </is>
      </c>
      <c r="I12" t="n">
        <v>1.5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s="2" t="inlineStr">
        <is>
          <t>Backsippa</t>
        </is>
      </c>
      <c r="W12">
        <f>HYPERLINK("https://klasma.github.io/Logging_0586/artfynd/A 33532-2024 artfynd.xlsx", "A 33532-2024")</f>
        <v/>
      </c>
      <c r="X12">
        <f>HYPERLINK("https://klasma.github.io/Logging_0586/kartor/A 33532-2024 karta.png", "A 33532-2024")</f>
        <v/>
      </c>
      <c r="Y12">
        <f>HYPERLINK("https://klasma.github.io/Logging_0586/kartor_geotiff/A 33532-2024 georefererad karta.tif", "A 33532-2024")</f>
        <v/>
      </c>
      <c r="AA12">
        <f>HYPERLINK("https://klasma.github.io/Logging_0586/klagomål/A 33532-2024 FSC-klagomål.docx", "A 33532-2024")</f>
        <v/>
      </c>
      <c r="AB12">
        <f>HYPERLINK("https://klasma.github.io/Logging_0586/klagomålsmail/A 33532-2024 FSC-klagomål mail.docx", "A 33532-2024")</f>
        <v/>
      </c>
      <c r="AC12">
        <f>HYPERLINK("https://klasma.github.io/Logging_0586/tillsyn/A 33532-2024 tillsynsbegäran.docx", "A 33532-2024")</f>
        <v/>
      </c>
      <c r="AD12">
        <f>HYPERLINK("https://klasma.github.io/Logging_0586/tillsynsmail/A 33532-2024 tillsynsbegäran mail.docx", "A 33532-2024")</f>
        <v/>
      </c>
    </row>
    <row r="13" ht="15" customHeight="1">
      <c r="A13" t="inlineStr">
        <is>
          <t>A 60983-2023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45261</v>
      </c>
      <c r="E13" s="1" t="n">
        <v>46320</v>
      </c>
      <c r="F13" t="inlineStr">
        <is>
          <t>ÖSTERGÖTLANDS LÄN</t>
        </is>
      </c>
      <c r="G13" t="inlineStr">
        <is>
          <t>MJÖLBY</t>
        </is>
      </c>
      <c r="I13" t="n">
        <v>3.8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1</v>
      </c>
      <c r="U13" t="n">
        <v>0</v>
      </c>
      <c r="V13" s="2" t="inlineStr">
        <is>
          <t>Grönvit nattviol</t>
        </is>
      </c>
      <c r="W13">
        <f>HYPERLINK("https://klasma.github.io/Logging_0586/artfynd/A 60983-2023 artfynd.xlsx", "A 60983-2023")</f>
        <v/>
      </c>
      <c r="X13">
        <f>HYPERLINK("https://klasma.github.io/Logging_0586/kartor/A 60983-2023 karta.png", "A 60983-2023")</f>
        <v/>
      </c>
      <c r="Y13">
        <f>HYPERLINK("https://klasma.github.io/Logging_0586/kartor_geotiff/A 60983-2023 georefererad karta.tif", "A 60983-2023")</f>
        <v/>
      </c>
      <c r="AA13">
        <f>HYPERLINK("https://klasma.github.io/Logging_0586/klagomål/A 60983-2023 FSC-klagomål.docx", "A 60983-2023")</f>
        <v/>
      </c>
      <c r="AB13">
        <f>HYPERLINK("https://klasma.github.io/Logging_0586/klagomålsmail/A 60983-2023 FSC-klagomål mail.docx", "A 60983-2023")</f>
        <v/>
      </c>
      <c r="AC13">
        <f>HYPERLINK("https://klasma.github.io/Logging_0586/tillsyn/A 60983-2023 tillsynsbegäran.docx", "A 60983-2023")</f>
        <v/>
      </c>
      <c r="AD13">
        <f>HYPERLINK("https://klasma.github.io/Logging_0586/tillsynsmail/A 60983-2023 tillsynsbegäran mail.docx", "A 60983-2023")</f>
        <v/>
      </c>
    </row>
    <row r="14" ht="15" customHeight="1">
      <c r="A14" t="inlineStr">
        <is>
          <t>A 53521-2023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45230</v>
      </c>
      <c r="E14" s="1" t="n">
        <v>46320</v>
      </c>
      <c r="F14" t="inlineStr">
        <is>
          <t>ÖSTERGÖTLANDS LÄN</t>
        </is>
      </c>
      <c r="G14" t="inlineStr">
        <is>
          <t>MJÖLBY</t>
        </is>
      </c>
      <c r="I14" t="n">
        <v>1.9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0</v>
      </c>
      <c r="V14" s="2" t="inlineStr">
        <is>
          <t>Skogsduva</t>
        </is>
      </c>
      <c r="W14">
        <f>HYPERLINK("https://klasma.github.io/Logging_0586/artfynd/A 53521-2023 artfynd.xlsx", "A 53521-2023")</f>
        <v/>
      </c>
      <c r="X14">
        <f>HYPERLINK("https://klasma.github.io/Logging_0586/kartor/A 53521-2023 karta.png", "A 53521-2023")</f>
        <v/>
      </c>
      <c r="Y14">
        <f>HYPERLINK("https://klasma.github.io/Logging_0586/kartor_geotiff/A 53521-2023 georefererad karta.tif", "A 53521-2023")</f>
        <v/>
      </c>
      <c r="AA14">
        <f>HYPERLINK("https://klasma.github.io/Logging_0586/klagomål/A 53521-2023 FSC-klagomål.docx", "A 53521-2023")</f>
        <v/>
      </c>
      <c r="AB14">
        <f>HYPERLINK("https://klasma.github.io/Logging_0586/klagomålsmail/A 53521-2023 FSC-klagomål mail.docx", "A 53521-2023")</f>
        <v/>
      </c>
      <c r="AC14">
        <f>HYPERLINK("https://klasma.github.io/Logging_0586/tillsyn/A 53521-2023 tillsynsbegäran.docx", "A 53521-2023")</f>
        <v/>
      </c>
      <c r="AD14">
        <f>HYPERLINK("https://klasma.github.io/Logging_0586/tillsynsmail/A 53521-2023 tillsynsbegäran mail.docx", "A 53521-2023")</f>
        <v/>
      </c>
    </row>
    <row r="15" ht="15" customHeight="1">
      <c r="A15" t="inlineStr">
        <is>
          <t>A 2230-2025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45673</v>
      </c>
      <c r="E15" s="1" t="n">
        <v>46320</v>
      </c>
      <c r="F15" t="inlineStr">
        <is>
          <t>ÖSTERGÖTLANDS LÄN</t>
        </is>
      </c>
      <c r="G15" t="inlineStr">
        <is>
          <t>MJÖLBY</t>
        </is>
      </c>
      <c r="I15" t="n">
        <v>1.6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s="2" t="inlineStr">
        <is>
          <t>Fläcknycklar</t>
        </is>
      </c>
      <c r="W15">
        <f>HYPERLINK("https://klasma.github.io/Logging_0586/artfynd/A 2230-2025 artfynd.xlsx", "A 2230-2025")</f>
        <v/>
      </c>
      <c r="X15">
        <f>HYPERLINK("https://klasma.github.io/Logging_0586/kartor/A 2230-2025 karta.png", "A 2230-2025")</f>
        <v/>
      </c>
      <c r="Y15">
        <f>HYPERLINK("https://klasma.github.io/Logging_0586/kartor_geotiff/A 2230-2025 georefererad karta.tif", "A 2230-2025")</f>
        <v/>
      </c>
      <c r="AA15">
        <f>HYPERLINK("https://klasma.github.io/Logging_0586/klagomål/A 2230-2025 FSC-klagomål.docx", "A 2230-2025")</f>
        <v/>
      </c>
      <c r="AB15">
        <f>HYPERLINK("https://klasma.github.io/Logging_0586/klagomålsmail/A 2230-2025 FSC-klagomål mail.docx", "A 2230-2025")</f>
        <v/>
      </c>
      <c r="AC15">
        <f>HYPERLINK("https://klasma.github.io/Logging_0586/tillsyn/A 2230-2025 tillsynsbegäran.docx", "A 2230-2025")</f>
        <v/>
      </c>
      <c r="AD15">
        <f>HYPERLINK("https://klasma.github.io/Logging_0586/tillsynsmail/A 2230-2025 tillsynsbegäran mail.docx", "A 2230-2025")</f>
        <v/>
      </c>
    </row>
    <row r="16" ht="15" customHeight="1">
      <c r="A16" t="inlineStr">
        <is>
          <t>A 32573-2026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46239</v>
      </c>
      <c r="E16" s="1" t="n">
        <v>46320</v>
      </c>
      <c r="F16" t="inlineStr">
        <is>
          <t>ÖSTERGÖTLANDS LÄN</t>
        </is>
      </c>
      <c r="G16" t="inlineStr">
        <is>
          <t>MJÖLBY</t>
        </is>
      </c>
      <c r="H16" t="inlineStr">
        <is>
          <t>Övriga Aktiebolag</t>
        </is>
      </c>
      <c r="I16" t="n">
        <v>6.6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1</v>
      </c>
      <c r="U16" t="n">
        <v>0</v>
      </c>
      <c r="V16" s="2" t="inlineStr">
        <is>
          <t>Lunglav</t>
        </is>
      </c>
      <c r="W16">
        <f>HYPERLINK("https://klasma.github.io/Logging_0586/artfynd/A 32573-2026 artfynd.xlsx", "A 32573-2026")</f>
        <v/>
      </c>
      <c r="X16">
        <f>HYPERLINK("https://klasma.github.io/Logging_0586/kartor/A 32573-2026 karta.png", "A 32573-2026")</f>
        <v/>
      </c>
      <c r="Y16">
        <f>HYPERLINK("https://klasma.github.io/Logging_0586/kartor_geotiff/A 32573-2026 georefererad karta.tif", "A 32573-2026")</f>
        <v/>
      </c>
      <c r="AA16">
        <f>HYPERLINK("https://klasma.github.io/Logging_0586/klagomål/A 32573-2026 FSC-klagomål.docx", "A 32573-2026")</f>
        <v/>
      </c>
      <c r="AB16">
        <f>HYPERLINK("https://klasma.github.io/Logging_0586/klagomålsmail/A 32573-2026 FSC-klagomål mail.docx", "A 32573-2026")</f>
        <v/>
      </c>
      <c r="AC16">
        <f>HYPERLINK("https://klasma.github.io/Logging_0586/tillsyn/A 32573-2026 tillsynsbegäran.docx", "A 32573-2026")</f>
        <v/>
      </c>
      <c r="AD16">
        <f>HYPERLINK("https://klasma.github.io/Logging_0586/tillsynsmail/A 32573-2026 tillsynsbegäran mail.docx", "A 32573-2026")</f>
        <v/>
      </c>
    </row>
    <row r="17" ht="15" customHeight="1">
      <c r="A17" t="inlineStr">
        <is>
          <t>A 32554-2026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46239</v>
      </c>
      <c r="E17" s="1" t="n">
        <v>46320</v>
      </c>
      <c r="F17" t="inlineStr">
        <is>
          <t>ÖSTERGÖTLANDS LÄN</t>
        </is>
      </c>
      <c r="G17" t="inlineStr">
        <is>
          <t>MJÖLBY</t>
        </is>
      </c>
      <c r="H17" t="inlineStr">
        <is>
          <t>Övriga Aktiebolag</t>
        </is>
      </c>
      <c r="I17" t="n">
        <v>3.1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s="2" t="inlineStr">
        <is>
          <t>Purpurknipprot</t>
        </is>
      </c>
      <c r="W17">
        <f>HYPERLINK("https://klasma.github.io/Logging_0586/artfynd/A 32554-2026 artfynd.xlsx", "A 32554-2026")</f>
        <v/>
      </c>
      <c r="X17">
        <f>HYPERLINK("https://klasma.github.io/Logging_0586/kartor/A 32554-2026 karta.png", "A 32554-2026")</f>
        <v/>
      </c>
      <c r="Y17">
        <f>HYPERLINK("https://klasma.github.io/Logging_0586/kartor_geotiff/A 32554-2026 georefererad karta.tif", "A 32554-2026")</f>
        <v/>
      </c>
      <c r="AA17">
        <f>HYPERLINK("https://klasma.github.io/Logging_0586/klagomål/A 32554-2026 FSC-klagomål.docx", "A 32554-2026")</f>
        <v/>
      </c>
      <c r="AB17">
        <f>HYPERLINK("https://klasma.github.io/Logging_0586/klagomålsmail/A 32554-2026 FSC-klagomål mail.docx", "A 32554-2026")</f>
        <v/>
      </c>
      <c r="AC17">
        <f>HYPERLINK("https://klasma.github.io/Logging_0586/tillsyn/A 32554-2026 tillsynsbegäran.docx", "A 32554-2026")</f>
        <v/>
      </c>
      <c r="AD17">
        <f>HYPERLINK("https://klasma.github.io/Logging_0586/tillsynsmail/A 32554-2026 tillsynsbegäran mail.docx", "A 32554-2026")</f>
        <v/>
      </c>
    </row>
    <row r="18" ht="15" customHeight="1">
      <c r="A18" t="inlineStr">
        <is>
          <t>A 62852-2025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46008</v>
      </c>
      <c r="E18" s="1" t="n">
        <v>46320</v>
      </c>
      <c r="F18" t="inlineStr">
        <is>
          <t>ÖSTERGÖTLANDS LÄN</t>
        </is>
      </c>
      <c r="G18" t="inlineStr">
        <is>
          <t>MJÖLBY</t>
        </is>
      </c>
      <c r="H18" t="inlineStr">
        <is>
          <t>Kyrkan</t>
        </is>
      </c>
      <c r="I18" t="n">
        <v>3.1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s="2" t="inlineStr">
        <is>
          <t>Tibast</t>
        </is>
      </c>
      <c r="W18">
        <f>HYPERLINK("https://klasma.github.io/Logging_0586/artfynd/A 62852-2025 artfynd.xlsx", "A 62852-2025")</f>
        <v/>
      </c>
      <c r="X18">
        <f>HYPERLINK("https://klasma.github.io/Logging_0586/kartor/A 62852-2025 karta.png", "A 62852-2025")</f>
        <v/>
      </c>
      <c r="Y18">
        <f>HYPERLINK("https://klasma.github.io/Logging_0586/kartor_geotiff/A 62852-2025 georefererad karta.tif", "A 62852-2025")</f>
        <v/>
      </c>
      <c r="AA18">
        <f>HYPERLINK("https://klasma.github.io/Logging_0586/klagomål/A 62852-2025 FSC-klagomål.docx", "A 62852-2025")</f>
        <v/>
      </c>
      <c r="AB18">
        <f>HYPERLINK("https://klasma.github.io/Logging_0586/klagomålsmail/A 62852-2025 FSC-klagomål mail.docx", "A 62852-2025")</f>
        <v/>
      </c>
      <c r="AC18">
        <f>HYPERLINK("https://klasma.github.io/Logging_0586/tillsyn/A 62852-2025 tillsynsbegäran.docx", "A 62852-2025")</f>
        <v/>
      </c>
      <c r="AD18">
        <f>HYPERLINK("https://klasma.github.io/Logging_0586/tillsynsmail/A 62852-2025 tillsynsbegäran mail.docx", "A 62852-2025")</f>
        <v/>
      </c>
    </row>
    <row r="19" ht="15" customHeight="1">
      <c r="A19" t="inlineStr">
        <is>
          <t>A 34869-2026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46255</v>
      </c>
      <c r="E19" s="1" t="n">
        <v>46320</v>
      </c>
      <c r="F19" t="inlineStr">
        <is>
          <t>ÖSTERGÖTLANDS LÄN</t>
        </is>
      </c>
      <c r="G19" t="inlineStr">
        <is>
          <t>MJÖLBY</t>
        </is>
      </c>
      <c r="I19" t="n">
        <v>1.3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2</v>
      </c>
      <c r="U19" t="n">
        <v>0</v>
      </c>
      <c r="V19" s="2" t="inlineStr">
        <is>
          <t>Backsippa</t>
        </is>
      </c>
      <c r="W19">
        <f>HYPERLINK("https://klasma.github.io/Logging_0586/artfynd/A 34869-2026 artfynd.xlsx", "A 34869-2026")</f>
        <v/>
      </c>
      <c r="X19">
        <f>HYPERLINK("https://klasma.github.io/Logging_0586/kartor/A 34869-2026 karta.png", "A 34869-2026")</f>
        <v/>
      </c>
      <c r="Y19">
        <f>HYPERLINK("https://klasma.github.io/Logging_0586/kartor_geotiff/A 34869-2026 georefererad karta.tif", "A 34869-2026")</f>
        <v/>
      </c>
      <c r="AA19">
        <f>HYPERLINK("https://klasma.github.io/Logging_0586/klagomål/A 34869-2026 FSC-klagomål.docx", "A 34869-2026")</f>
        <v/>
      </c>
      <c r="AB19">
        <f>HYPERLINK("https://klasma.github.io/Logging_0586/klagomålsmail/A 34869-2026 FSC-klagomål mail.docx", "A 34869-2026")</f>
        <v/>
      </c>
      <c r="AC19">
        <f>HYPERLINK("https://klasma.github.io/Logging_0586/tillsyn/A 34869-2026 tillsynsbegäran.docx", "A 34869-2026")</f>
        <v/>
      </c>
      <c r="AD19">
        <f>HYPERLINK("https://klasma.github.io/Logging_0586/tillsynsmail/A 34869-2026 tillsynsbegäran mail.docx", "A 34869-2026")</f>
        <v/>
      </c>
    </row>
    <row r="20" ht="15" customHeight="1">
      <c r="A20" t="inlineStr">
        <is>
          <t>A 41635-2026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46301</v>
      </c>
      <c r="E20" s="1" t="n">
        <v>46320</v>
      </c>
      <c r="F20" t="inlineStr">
        <is>
          <t>ÖSTERGÖTLANDS LÄN</t>
        </is>
      </c>
      <c r="G20" t="inlineStr">
        <is>
          <t>MJÖLBY</t>
        </is>
      </c>
      <c r="I20" t="n">
        <v>1.8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1</v>
      </c>
      <c r="U20" t="n">
        <v>0</v>
      </c>
      <c r="V20" s="2" t="inlineStr">
        <is>
          <t>Ask</t>
        </is>
      </c>
      <c r="W20">
        <f>HYPERLINK("https://klasma.github.io/Logging_0586/artfynd/A 41635-2026 artfynd.xlsx", "A 41635-2026")</f>
        <v/>
      </c>
      <c r="X20">
        <f>HYPERLINK("https://klasma.github.io/Logging_0586/kartor/A 41635-2026 karta.png", "A 41635-2026")</f>
        <v/>
      </c>
      <c r="Y20">
        <f>HYPERLINK("https://klasma.github.io/Logging_0586/kartor_geotiff/A 41635-2026 georefererad karta.tif", "A 41635-2026")</f>
        <v/>
      </c>
      <c r="AA20">
        <f>HYPERLINK("https://klasma.github.io/Logging_0586/klagomål/A 41635-2026 FSC-klagomål.docx", "A 41635-2026")</f>
        <v/>
      </c>
      <c r="AB20">
        <f>HYPERLINK("https://klasma.github.io/Logging_0586/klagomålsmail/A 41635-2026 FSC-klagomål mail.docx", "A 41635-2026")</f>
        <v/>
      </c>
      <c r="AC20">
        <f>HYPERLINK("https://klasma.github.io/Logging_0586/tillsyn/A 41635-2026 tillsynsbegäran.docx", "A 41635-2026")</f>
        <v/>
      </c>
      <c r="AD20">
        <f>HYPERLINK("https://klasma.github.io/Logging_0586/tillsynsmail/A 41635-2026 tillsynsbegäran mail.docx", "A 41635-2026")</f>
        <v/>
      </c>
    </row>
    <row r="21" ht="15" customHeight="1">
      <c r="A21" t="inlineStr">
        <is>
          <t>A 43425-2026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46314</v>
      </c>
      <c r="E21" s="1" t="n">
        <v>46320</v>
      </c>
      <c r="F21" t="inlineStr">
        <is>
          <t>ÖSTERGÖTLANDS LÄN</t>
        </is>
      </c>
      <c r="G21" t="inlineStr">
        <is>
          <t>MJÖLBY</t>
        </is>
      </c>
      <c r="I21" t="n">
        <v>3.6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s="2" t="inlineStr">
        <is>
          <t>Brun nållav</t>
        </is>
      </c>
      <c r="W21">
        <f>HYPERLINK("https://klasma.github.io/Logging_0586/artfynd/A 43425-2026 artfynd.xlsx", "A 43425-2026")</f>
        <v/>
      </c>
      <c r="X21">
        <f>HYPERLINK("https://klasma.github.io/Logging_0586/kartor/A 43425-2026 karta.png", "A 43425-2026")</f>
        <v/>
      </c>
      <c r="Y21">
        <f>HYPERLINK("https://klasma.github.io/Logging_0586/kartor_geotiff/A 43425-2026 georefererad karta.tif", "A 43425-2026")</f>
        <v/>
      </c>
      <c r="AA21">
        <f>HYPERLINK("https://klasma.github.io/Logging_0586/klagomål/A 43425-2026 FSC-klagomål.docx", "A 43425-2026")</f>
        <v/>
      </c>
      <c r="AB21">
        <f>HYPERLINK("https://klasma.github.io/Logging_0586/klagomålsmail/A 43425-2026 FSC-klagomål mail.docx", "A 43425-2026")</f>
        <v/>
      </c>
      <c r="AC21">
        <f>HYPERLINK("https://klasma.github.io/Logging_0586/tillsyn/A 43425-2026 tillsynsbegäran.docx", "A 43425-2026")</f>
        <v/>
      </c>
      <c r="AD21">
        <f>HYPERLINK("https://klasma.github.io/Logging_0586/tillsynsmail/A 43425-2026 tillsynsbegäran mail.docx", "A 43425-2026")</f>
        <v/>
      </c>
    </row>
    <row r="22" ht="15" customHeight="1">
      <c r="A22" t="inlineStr">
        <is>
          <t>A 50403-2022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44866</v>
      </c>
      <c r="E22" s="1" t="n">
        <v>46320</v>
      </c>
      <c r="F22" t="inlineStr">
        <is>
          <t>ÖSTERGÖTLANDS LÄN</t>
        </is>
      </c>
      <c r="G22" t="inlineStr">
        <is>
          <t>MJÖLBY</t>
        </is>
      </c>
      <c r="H22" t="inlineStr">
        <is>
          <t>Sveaskog</t>
        </is>
      </c>
      <c r="I22" t="n">
        <v>2.4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2</v>
      </c>
      <c r="U22" t="n">
        <v>1</v>
      </c>
      <c r="V22" s="2" t="inlineStr">
        <is>
          <t>Springkorn</t>
        </is>
      </c>
      <c r="W22">
        <f>HYPERLINK("https://klasma.github.io/Logging_0586/artfynd/A 50403-2022 artfynd.xlsx", "A 50403-2022")</f>
        <v/>
      </c>
      <c r="X22">
        <f>HYPERLINK("https://klasma.github.io/Logging_0586/kartor/A 50403-2022 karta.png", "A 50403-2022")</f>
        <v/>
      </c>
      <c r="Y22">
        <f>HYPERLINK("https://klasma.github.io/Logging_0586/kartor_geotiff/A 50403-2022 georefererad karta.tif", "A 50403-2022")</f>
        <v/>
      </c>
      <c r="AA22">
        <f>HYPERLINK("https://klasma.github.io/Logging_0586/klagomål/A 50403-2022 FSC-klagomål.docx", "A 50403-2022")</f>
        <v/>
      </c>
      <c r="AB22">
        <f>HYPERLINK("https://klasma.github.io/Logging_0586/klagomålsmail/A 50403-2022 FSC-klagomål mail.docx", "A 50403-2022")</f>
        <v/>
      </c>
      <c r="AC22">
        <f>HYPERLINK("https://klasma.github.io/Logging_0586/tillsyn/A 50403-2022 tillsynsbegäran.docx", "A 50403-2022")</f>
        <v/>
      </c>
      <c r="AD22">
        <f>HYPERLINK("https://klasma.github.io/Logging_0586/tillsynsmail/A 50403-2022 tillsynsbegäran mail.docx", "A 50403-2022")</f>
        <v/>
      </c>
    </row>
    <row r="23" ht="15" customHeight="1">
      <c r="A23" t="inlineStr">
        <is>
          <t>A 9030-2022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44615</v>
      </c>
      <c r="E23" s="1" t="n">
        <v>46320</v>
      </c>
      <c r="F23" t="inlineStr">
        <is>
          <t>ÖSTERGÖTLANDS LÄN</t>
        </is>
      </c>
      <c r="G23" t="inlineStr">
        <is>
          <t>MJÖLBY</t>
        </is>
      </c>
      <c r="I23" t="n">
        <v>2.1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s="2" t="inlineStr">
        <is>
          <t>Skogsalm</t>
        </is>
      </c>
      <c r="W23">
        <f>HYPERLINK("https://klasma.github.io/Logging_0586/artfynd/A 9030-2022 artfynd.xlsx", "A 9030-2022")</f>
        <v/>
      </c>
      <c r="X23">
        <f>HYPERLINK("https://klasma.github.io/Logging_0586/kartor/A 9030-2022 karta.png", "A 9030-2022")</f>
        <v/>
      </c>
      <c r="Y23">
        <f>HYPERLINK("https://klasma.github.io/Logging_0586/kartor_geotiff/A 9030-2022 georefererad karta.tif", "A 9030-2022")</f>
        <v/>
      </c>
      <c r="AA23">
        <f>HYPERLINK("https://klasma.github.io/Logging_0586/klagomål/A 9030-2022 FSC-klagomål.docx", "A 9030-2022")</f>
        <v/>
      </c>
      <c r="AB23">
        <f>HYPERLINK("https://klasma.github.io/Logging_0586/klagomålsmail/A 9030-2022 FSC-klagomål mail.docx", "A 9030-2022")</f>
        <v/>
      </c>
      <c r="AC23">
        <f>HYPERLINK("https://klasma.github.io/Logging_0586/tillsyn/A 9030-2022 tillsynsbegäran.docx", "A 9030-2022")</f>
        <v/>
      </c>
      <c r="AD23">
        <f>HYPERLINK("https://klasma.github.io/Logging_0586/tillsynsmail/A 9030-2022 tillsynsbegäran mail.docx", "A 9030-2022")</f>
        <v/>
      </c>
    </row>
    <row r="24" ht="15" customHeight="1">
      <c r="A24" t="inlineStr">
        <is>
          <t>A 45164-2023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45191</v>
      </c>
      <c r="E24" s="1" t="n">
        <v>46320</v>
      </c>
      <c r="F24" t="inlineStr">
        <is>
          <t>ÖSTERGÖTLANDS LÄN</t>
        </is>
      </c>
      <c r="G24" t="inlineStr">
        <is>
          <t>MJÖLBY</t>
        </is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s="2" t="inlineStr">
        <is>
          <t>Skogsduva</t>
        </is>
      </c>
      <c r="W24">
        <f>HYPERLINK("https://klasma.github.io/Logging_0586/artfynd/A 45164-2023 artfynd.xlsx", "A 45164-2023")</f>
        <v/>
      </c>
      <c r="X24">
        <f>HYPERLINK("https://klasma.github.io/Logging_0586/kartor/A 45164-2023 karta.png", "A 45164-2023")</f>
        <v/>
      </c>
      <c r="Y24">
        <f>HYPERLINK("https://klasma.github.io/Logging_0586/kartor_geotiff/A 45164-2023 georefererad karta.tif", "A 45164-2023")</f>
        <v/>
      </c>
      <c r="AA24">
        <f>HYPERLINK("https://klasma.github.io/Logging_0586/klagomål/A 45164-2023 FSC-klagomål.docx", "A 45164-2023")</f>
        <v/>
      </c>
      <c r="AB24">
        <f>HYPERLINK("https://klasma.github.io/Logging_0586/klagomålsmail/A 45164-2023 FSC-klagomål mail.docx", "A 45164-2023")</f>
        <v/>
      </c>
      <c r="AC24">
        <f>HYPERLINK("https://klasma.github.io/Logging_0586/tillsyn/A 45164-2023 tillsynsbegäran.docx", "A 45164-2023")</f>
        <v/>
      </c>
      <c r="AD24">
        <f>HYPERLINK("https://klasma.github.io/Logging_0586/tillsynsmail/A 45164-2023 tillsynsbegäran mail.docx", "A 45164-2023")</f>
        <v/>
      </c>
    </row>
    <row r="25" ht="15" customHeight="1">
      <c r="A25" t="inlineStr">
        <is>
          <t>A 1554-2022</t>
        </is>
      </c>
      <c r="B25" t="inlineStr">
        <is>
          <t>avverkningsanmälan</t>
        </is>
      </c>
      <c r="C25" t="inlineStr">
        <is>
          <t>Avverkning för annat ändamål</t>
        </is>
      </c>
      <c r="D25" s="1" t="n">
        <v>44573</v>
      </c>
      <c r="E25" s="1" t="n">
        <v>46320</v>
      </c>
      <c r="F25" t="inlineStr">
        <is>
          <t>ÖSTERGÖTLANDS LÄN</t>
        </is>
      </c>
      <c r="G25" t="inlineStr">
        <is>
          <t>MJÖLBY</t>
        </is>
      </c>
      <c r="I25" t="n">
        <v>0.3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s="2" t="inlineStr"/>
    </row>
    <row r="26" ht="15" customHeight="1">
      <c r="A26" t="inlineStr">
        <is>
          <t>A 44652-2022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44840</v>
      </c>
      <c r="E26" s="1" t="n">
        <v>46320</v>
      </c>
      <c r="F26" t="inlineStr">
        <is>
          <t>ÖSTERGÖTLANDS LÄN</t>
        </is>
      </c>
      <c r="G26" t="inlineStr">
        <is>
          <t>MJÖLBY</t>
        </is>
      </c>
      <c r="H26" t="inlineStr">
        <is>
          <t>Kommuner</t>
        </is>
      </c>
      <c r="I26" t="n">
        <v>0.6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s="2" t="inlineStr"/>
    </row>
    <row r="27" ht="15" customHeight="1">
      <c r="A27" t="inlineStr">
        <is>
          <t>A 1552-2022</t>
        </is>
      </c>
      <c r="B27" t="inlineStr">
        <is>
          <t>avverkningsanmälan</t>
        </is>
      </c>
      <c r="C27" t="inlineStr">
        <is>
          <t>Avverkning för annat ändamål</t>
        </is>
      </c>
      <c r="D27" s="1" t="n">
        <v>44573</v>
      </c>
      <c r="E27" s="1" t="n">
        <v>46320</v>
      </c>
      <c r="F27" t="inlineStr">
        <is>
          <t>ÖSTERGÖTLANDS LÄN</t>
        </is>
      </c>
      <c r="G27" t="inlineStr">
        <is>
          <t>MJÖLBY</t>
        </is>
      </c>
      <c r="I27" t="n">
        <v>1.3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s="2" t="inlineStr"/>
    </row>
    <row r="28" ht="15" customHeight="1">
      <c r="A28" t="inlineStr">
        <is>
          <t>A 72290-2021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44545</v>
      </c>
      <c r="E28" s="1" t="n">
        <v>46320</v>
      </c>
      <c r="F28" t="inlineStr">
        <is>
          <t>ÖSTERGÖTLANDS LÄN</t>
        </is>
      </c>
      <c r="G28" t="inlineStr">
        <is>
          <t>MJÖLBY</t>
        </is>
      </c>
      <c r="I28" t="n">
        <v>0.4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19352-2022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44692</v>
      </c>
      <c r="E29" s="1" t="n">
        <v>46320</v>
      </c>
      <c r="F29" t="inlineStr">
        <is>
          <t>ÖSTERGÖTLANDS LÄN</t>
        </is>
      </c>
      <c r="G29" t="inlineStr">
        <is>
          <t>MJÖLBY</t>
        </is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10950-2022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44627</v>
      </c>
      <c r="E30" s="1" t="n">
        <v>46320</v>
      </c>
      <c r="F30" t="inlineStr">
        <is>
          <t>ÖSTERGÖTLANDS LÄN</t>
        </is>
      </c>
      <c r="G30" t="inlineStr">
        <is>
          <t>MJÖLBY</t>
        </is>
      </c>
      <c r="I30" t="n">
        <v>4.1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34431-2022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44792</v>
      </c>
      <c r="E31" s="1" t="n">
        <v>46320</v>
      </c>
      <c r="F31" t="inlineStr">
        <is>
          <t>ÖSTERGÖTLANDS LÄN</t>
        </is>
      </c>
      <c r="G31" t="inlineStr">
        <is>
          <t>MJÖLBY</t>
        </is>
      </c>
      <c r="H31" t="inlineStr">
        <is>
          <t>Kommuner</t>
        </is>
      </c>
      <c r="I31" t="n">
        <v>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51475-2023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45221</v>
      </c>
      <c r="E32" s="1" t="n">
        <v>46320</v>
      </c>
      <c r="F32" t="inlineStr">
        <is>
          <t>ÖSTERGÖTLANDS LÄN</t>
        </is>
      </c>
      <c r="G32" t="inlineStr">
        <is>
          <t>MJÖLBY</t>
        </is>
      </c>
      <c r="I32" t="n">
        <v>2.7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12253-2024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45378</v>
      </c>
      <c r="E33" s="1" t="n">
        <v>46320</v>
      </c>
      <c r="F33" t="inlineStr">
        <is>
          <t>ÖSTERGÖTLANDS LÄN</t>
        </is>
      </c>
      <c r="G33" t="inlineStr">
        <is>
          <t>MJÖLBY</t>
        </is>
      </c>
      <c r="I33" t="n">
        <v>0.6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12254-2024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45378</v>
      </c>
      <c r="E34" s="1" t="n">
        <v>46320</v>
      </c>
      <c r="F34" t="inlineStr">
        <is>
          <t>ÖSTERGÖTLANDS LÄN</t>
        </is>
      </c>
      <c r="G34" t="inlineStr">
        <is>
          <t>MJÖLBY</t>
        </is>
      </c>
      <c r="I34" t="n">
        <v>4.7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2715-2022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44580</v>
      </c>
      <c r="E35" s="1" t="n">
        <v>46320</v>
      </c>
      <c r="F35" t="inlineStr">
        <is>
          <t>ÖSTERGÖTLANDS LÄN</t>
        </is>
      </c>
      <c r="G35" t="inlineStr">
        <is>
          <t>MJÖLBY</t>
        </is>
      </c>
      <c r="I35" t="n">
        <v>5.3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43032-2025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45909</v>
      </c>
      <c r="E36" s="1" t="n">
        <v>46320</v>
      </c>
      <c r="F36" t="inlineStr">
        <is>
          <t>ÖSTERGÖTLANDS LÄN</t>
        </is>
      </c>
      <c r="G36" t="inlineStr">
        <is>
          <t>MJÖLBY</t>
        </is>
      </c>
      <c r="I36" t="n">
        <v>0.7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43026-2025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45909</v>
      </c>
      <c r="E37" s="1" t="n">
        <v>46320</v>
      </c>
      <c r="F37" t="inlineStr">
        <is>
          <t>ÖSTERGÖTLANDS LÄN</t>
        </is>
      </c>
      <c r="G37" t="inlineStr">
        <is>
          <t>MJÖLBY</t>
        </is>
      </c>
      <c r="I37" t="n">
        <v>1.4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24139-2026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46168</v>
      </c>
      <c r="E38" s="1" t="n">
        <v>46320</v>
      </c>
      <c r="F38" t="inlineStr">
        <is>
          <t>ÖSTERGÖTLANDS LÄN</t>
        </is>
      </c>
      <c r="G38" t="inlineStr">
        <is>
          <t>MJÖLBY</t>
        </is>
      </c>
      <c r="H38" t="inlineStr">
        <is>
          <t>Övriga Aktiebolag</t>
        </is>
      </c>
      <c r="I38" t="n">
        <v>1.5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46164-2025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45924</v>
      </c>
      <c r="E39" s="1" t="n">
        <v>46320</v>
      </c>
      <c r="F39" t="inlineStr">
        <is>
          <t>ÖSTERGÖTLANDS LÄN</t>
        </is>
      </c>
      <c r="G39" t="inlineStr">
        <is>
          <t>MJÖLBY</t>
        </is>
      </c>
      <c r="I39" t="n">
        <v>1.2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46144-2025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45924</v>
      </c>
      <c r="E40" s="1" t="n">
        <v>46320</v>
      </c>
      <c r="F40" t="inlineStr">
        <is>
          <t>ÖSTERGÖTLANDS LÄN</t>
        </is>
      </c>
      <c r="G40" t="inlineStr">
        <is>
          <t>MJÖLBY</t>
        </is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46159-2025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45924</v>
      </c>
      <c r="E41" s="1" t="n">
        <v>46320</v>
      </c>
      <c r="F41" t="inlineStr">
        <is>
          <t>ÖSTERGÖTLANDS LÄN</t>
        </is>
      </c>
      <c r="G41" t="inlineStr">
        <is>
          <t>MJÖLBY</t>
        </is>
      </c>
      <c r="I41" t="n">
        <v>1.2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46521-2025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45926</v>
      </c>
      <c r="E42" s="1" t="n">
        <v>46320</v>
      </c>
      <c r="F42" t="inlineStr">
        <is>
          <t>ÖSTERGÖTLANDS LÄN</t>
        </is>
      </c>
      <c r="G42" t="inlineStr">
        <is>
          <t>MJÖLBY</t>
        </is>
      </c>
      <c r="H42" t="inlineStr">
        <is>
          <t>Sveaskog</t>
        </is>
      </c>
      <c r="I42" t="n">
        <v>1.6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1011-2025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45666</v>
      </c>
      <c r="E43" s="1" t="n">
        <v>46320</v>
      </c>
      <c r="F43" t="inlineStr">
        <is>
          <t>ÖSTERGÖTLANDS LÄN</t>
        </is>
      </c>
      <c r="G43" t="inlineStr">
        <is>
          <t>MJÖLBY</t>
        </is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17707-2023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45037</v>
      </c>
      <c r="E44" s="1" t="n">
        <v>46320</v>
      </c>
      <c r="F44" t="inlineStr">
        <is>
          <t>ÖSTERGÖTLANDS LÄN</t>
        </is>
      </c>
      <c r="G44" t="inlineStr">
        <is>
          <t>MJÖLBY</t>
        </is>
      </c>
      <c r="I44" t="n">
        <v>3.6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4314-2024</t>
        </is>
      </c>
      <c r="B45" t="inlineStr">
        <is>
          <t>avverkningsanmälan</t>
        </is>
      </c>
      <c r="C45" t="inlineStr">
        <is>
          <t>Avverkning för annat ändamål</t>
        </is>
      </c>
      <c r="D45" s="1" t="n">
        <v>45324</v>
      </c>
      <c r="E45" s="1" t="n">
        <v>46320</v>
      </c>
      <c r="F45" t="inlineStr">
        <is>
          <t>ÖSTERGÖTLANDS LÄN</t>
        </is>
      </c>
      <c r="G45" t="inlineStr">
        <is>
          <t>MJÖLBY</t>
        </is>
      </c>
      <c r="H45" t="inlineStr">
        <is>
          <t>Kyrkan</t>
        </is>
      </c>
      <c r="I45" t="n">
        <v>0.6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24786-2026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46171</v>
      </c>
      <c r="E46" s="1" t="n">
        <v>46320</v>
      </c>
      <c r="F46" t="inlineStr">
        <is>
          <t>ÖSTERGÖTLANDS LÄN</t>
        </is>
      </c>
      <c r="G46" t="inlineStr">
        <is>
          <t>MJÖLBY</t>
        </is>
      </c>
      <c r="H46" t="inlineStr">
        <is>
          <t>Övriga Aktiebolag</t>
        </is>
      </c>
      <c r="I46" t="n">
        <v>3.7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24457-2026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46170</v>
      </c>
      <c r="E47" s="1" t="n">
        <v>46320</v>
      </c>
      <c r="F47" t="inlineStr">
        <is>
          <t>ÖSTERGÖTLANDS LÄN</t>
        </is>
      </c>
      <c r="G47" t="inlineStr">
        <is>
          <t>MJÖLBY</t>
        </is>
      </c>
      <c r="H47" t="inlineStr">
        <is>
          <t>Övriga Aktiebolag</t>
        </is>
      </c>
      <c r="I47" t="n">
        <v>2.4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53518-2022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44879</v>
      </c>
      <c r="E48" s="1" t="n">
        <v>46320</v>
      </c>
      <c r="F48" t="inlineStr">
        <is>
          <t>ÖSTERGÖTLANDS LÄN</t>
        </is>
      </c>
      <c r="G48" t="inlineStr">
        <is>
          <t>MJÖLBY</t>
        </is>
      </c>
      <c r="I48" t="n">
        <v>3.7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24903-2026</t>
        </is>
      </c>
      <c r="B49" t="inlineStr">
        <is>
          <t>avverkningsanmälan</t>
        </is>
      </c>
      <c r="C49" t="inlineStr">
        <is>
          <t>Avverkning för att bevara och utveckla /försöksver</t>
        </is>
      </c>
      <c r="D49" s="1" t="n">
        <v>46174</v>
      </c>
      <c r="E49" s="1" t="n">
        <v>46320</v>
      </c>
      <c r="F49" t="inlineStr">
        <is>
          <t>ÖSTERGÖTLANDS LÄN</t>
        </is>
      </c>
      <c r="G49" t="inlineStr">
        <is>
          <t>MJÖLBY</t>
        </is>
      </c>
      <c r="H49" t="inlineStr">
        <is>
          <t>Övriga Aktiebolag</t>
        </is>
      </c>
      <c r="I49" t="n">
        <v>1.1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3681-2025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45681</v>
      </c>
      <c r="E50" s="1" t="n">
        <v>46320</v>
      </c>
      <c r="F50" t="inlineStr">
        <is>
          <t>ÖSTERGÖTLANDS LÄN</t>
        </is>
      </c>
      <c r="G50" t="inlineStr">
        <is>
          <t>MJÖLBY</t>
        </is>
      </c>
      <c r="I50" t="n">
        <v>0.7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24894-2026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46174</v>
      </c>
      <c r="E51" s="1" t="n">
        <v>46320</v>
      </c>
      <c r="F51" t="inlineStr">
        <is>
          <t>ÖSTERGÖTLANDS LÄN</t>
        </is>
      </c>
      <c r="G51" t="inlineStr">
        <is>
          <t>MJÖLBY</t>
        </is>
      </c>
      <c r="H51" t="inlineStr">
        <is>
          <t>Övriga Aktiebolag</t>
        </is>
      </c>
      <c r="I51" t="n">
        <v>0.6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25031-2026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46174</v>
      </c>
      <c r="E52" s="1" t="n">
        <v>46320</v>
      </c>
      <c r="F52" t="inlineStr">
        <is>
          <t>ÖSTERGÖTLANDS LÄN</t>
        </is>
      </c>
      <c r="G52" t="inlineStr">
        <is>
          <t>MJÖLBY</t>
        </is>
      </c>
      <c r="H52" t="inlineStr">
        <is>
          <t>Övriga Aktiebolag</t>
        </is>
      </c>
      <c r="I52" t="n">
        <v>0.7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41819-2023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45176</v>
      </c>
      <c r="E53" s="1" t="n">
        <v>46320</v>
      </c>
      <c r="F53" t="inlineStr">
        <is>
          <t>ÖSTERGÖTLANDS LÄN</t>
        </is>
      </c>
      <c r="G53" t="inlineStr">
        <is>
          <t>MJÖLBY</t>
        </is>
      </c>
      <c r="I53" t="n">
        <v>0.7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24888-2026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46174</v>
      </c>
      <c r="E54" s="1" t="n">
        <v>46320</v>
      </c>
      <c r="F54" t="inlineStr">
        <is>
          <t>ÖSTERGÖTLANDS LÄN</t>
        </is>
      </c>
      <c r="G54" t="inlineStr">
        <is>
          <t>MJÖLBY</t>
        </is>
      </c>
      <c r="H54" t="inlineStr">
        <is>
          <t>Övriga Aktiebolag</t>
        </is>
      </c>
      <c r="I54" t="n">
        <v>4.6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24896-2026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46174</v>
      </c>
      <c r="E55" s="1" t="n">
        <v>46320</v>
      </c>
      <c r="F55" t="inlineStr">
        <is>
          <t>ÖSTERGÖTLANDS LÄN</t>
        </is>
      </c>
      <c r="G55" t="inlineStr">
        <is>
          <t>MJÖLBY</t>
        </is>
      </c>
      <c r="H55" t="inlineStr">
        <is>
          <t>Övriga Aktiebolag</t>
        </is>
      </c>
      <c r="I55" t="n">
        <v>0.3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24900-2026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46174</v>
      </c>
      <c r="E56" s="1" t="n">
        <v>46320</v>
      </c>
      <c r="F56" t="inlineStr">
        <is>
          <t>ÖSTERGÖTLANDS LÄN</t>
        </is>
      </c>
      <c r="G56" t="inlineStr">
        <is>
          <t>MJÖLBY</t>
        </is>
      </c>
      <c r="H56" t="inlineStr">
        <is>
          <t>Övriga Aktiebolag</t>
        </is>
      </c>
      <c r="I56" t="n">
        <v>0.6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25503-2026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46177</v>
      </c>
      <c r="E57" s="1" t="n">
        <v>46320</v>
      </c>
      <c r="F57" t="inlineStr">
        <is>
          <t>ÖSTERGÖTLANDS LÄN</t>
        </is>
      </c>
      <c r="G57" t="inlineStr">
        <is>
          <t>MJÖLBY</t>
        </is>
      </c>
      <c r="H57" t="inlineStr">
        <is>
          <t>Övriga Aktiebolag</t>
        </is>
      </c>
      <c r="I57" t="n">
        <v>2.2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50883-2024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45602</v>
      </c>
      <c r="E58" s="1" t="n">
        <v>46320</v>
      </c>
      <c r="F58" t="inlineStr">
        <is>
          <t>ÖSTERGÖTLANDS LÄN</t>
        </is>
      </c>
      <c r="G58" t="inlineStr">
        <is>
          <t>MJÖLBY</t>
        </is>
      </c>
      <c r="I58" t="n">
        <v>2.1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50896-2024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45602</v>
      </c>
      <c r="E59" s="1" t="n">
        <v>46320</v>
      </c>
      <c r="F59" t="inlineStr">
        <is>
          <t>ÖSTERGÖTLANDS LÄN</t>
        </is>
      </c>
      <c r="G59" t="inlineStr">
        <is>
          <t>MJÖLBY</t>
        </is>
      </c>
      <c r="I59" t="n">
        <v>3.9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51335-2025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45950</v>
      </c>
      <c r="E60" s="1" t="n">
        <v>46320</v>
      </c>
      <c r="F60" t="inlineStr">
        <is>
          <t>ÖSTERGÖTLANDS LÄN</t>
        </is>
      </c>
      <c r="G60" t="inlineStr">
        <is>
          <t>MJÖLBY</t>
        </is>
      </c>
      <c r="I60" t="n">
        <v>2.3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10984-2024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45370</v>
      </c>
      <c r="E61" s="1" t="n">
        <v>46320</v>
      </c>
      <c r="F61" t="inlineStr">
        <is>
          <t>ÖSTERGÖTLANDS LÄN</t>
        </is>
      </c>
      <c r="G61" t="inlineStr">
        <is>
          <t>MJÖLBY</t>
        </is>
      </c>
      <c r="I61" t="n">
        <v>1.9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51326-2025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45950</v>
      </c>
      <c r="E62" s="1" t="n">
        <v>46320</v>
      </c>
      <c r="F62" t="inlineStr">
        <is>
          <t>ÖSTERGÖTLANDS LÄN</t>
        </is>
      </c>
      <c r="G62" t="inlineStr">
        <is>
          <t>MJÖLBY</t>
        </is>
      </c>
      <c r="I62" t="n">
        <v>1.3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15467-2023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45020</v>
      </c>
      <c r="E63" s="1" t="n">
        <v>46320</v>
      </c>
      <c r="F63" t="inlineStr">
        <is>
          <t>ÖSTERGÖTLANDS LÄN</t>
        </is>
      </c>
      <c r="G63" t="inlineStr">
        <is>
          <t>MJÖLBY</t>
        </is>
      </c>
      <c r="I63" t="n">
        <v>0.5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40667-2023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45170</v>
      </c>
      <c r="E64" s="1" t="n">
        <v>46320</v>
      </c>
      <c r="F64" t="inlineStr">
        <is>
          <t>ÖSTERGÖTLANDS LÄN</t>
        </is>
      </c>
      <c r="G64" t="inlineStr">
        <is>
          <t>MJÖLBY</t>
        </is>
      </c>
      <c r="I64" t="n">
        <v>1.8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27126-2026</t>
        </is>
      </c>
      <c r="B65" t="inlineStr">
        <is>
          <t>avverkningsanmälan</t>
        </is>
      </c>
      <c r="C65" t="inlineStr">
        <is>
          <t>Avverkning för att bevara och utveckla /försöksver</t>
        </is>
      </c>
      <c r="D65" s="1" t="n">
        <v>46188</v>
      </c>
      <c r="E65" s="1" t="n">
        <v>46320</v>
      </c>
      <c r="F65" t="inlineStr">
        <is>
          <t>ÖSTERGÖTLANDS LÄN</t>
        </is>
      </c>
      <c r="G65" t="inlineStr">
        <is>
          <t>MJÖLBY</t>
        </is>
      </c>
      <c r="H65" t="inlineStr">
        <is>
          <t>Övriga Aktiebolag</t>
        </is>
      </c>
      <c r="I65" t="n">
        <v>1.3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44770-2025</t>
        </is>
      </c>
      <c r="B66" t="inlineStr">
        <is>
          <t>avverkningsanmälan</t>
        </is>
      </c>
      <c r="C66" t="inlineStr">
        <is>
          <t>Avverkning för att bevara och utveckla /försöksver</t>
        </is>
      </c>
      <c r="D66" s="1" t="n">
        <v>45917</v>
      </c>
      <c r="E66" s="1" t="n">
        <v>46320</v>
      </c>
      <c r="F66" t="inlineStr">
        <is>
          <t>ÖSTERGÖTLANDS LÄN</t>
        </is>
      </c>
      <c r="G66" t="inlineStr">
        <is>
          <t>MJÖLBY</t>
        </is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44769-2025</t>
        </is>
      </c>
      <c r="B67" t="inlineStr">
        <is>
          <t>avverkningsanmälan</t>
        </is>
      </c>
      <c r="C67" t="inlineStr">
        <is>
          <t>Avverkning för att bevara och utveckla /försöksver</t>
        </is>
      </c>
      <c r="D67" s="1" t="n">
        <v>45917</v>
      </c>
      <c r="E67" s="1" t="n">
        <v>46320</v>
      </c>
      <c r="F67" t="inlineStr">
        <is>
          <t>ÖSTERGÖTLANDS LÄN</t>
        </is>
      </c>
      <c r="G67" t="inlineStr">
        <is>
          <t>MJÖLBY</t>
        </is>
      </c>
      <c r="I67" t="n">
        <v>1.1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27137-2026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46188</v>
      </c>
      <c r="E68" s="1" t="n">
        <v>46320</v>
      </c>
      <c r="F68" t="inlineStr">
        <is>
          <t>ÖSTERGÖTLANDS LÄN</t>
        </is>
      </c>
      <c r="G68" t="inlineStr">
        <is>
          <t>MJÖLBY</t>
        </is>
      </c>
      <c r="H68" t="inlineStr">
        <is>
          <t>Övriga Aktiebolag</t>
        </is>
      </c>
      <c r="I68" t="n">
        <v>2.4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42042-2023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45177</v>
      </c>
      <c r="E69" s="1" t="n">
        <v>46320</v>
      </c>
      <c r="F69" t="inlineStr">
        <is>
          <t>ÖSTERGÖTLANDS LÄN</t>
        </is>
      </c>
      <c r="G69" t="inlineStr">
        <is>
          <t>MJÖLBY</t>
        </is>
      </c>
      <c r="I69" t="n">
        <v>0.6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50886-2024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45602</v>
      </c>
      <c r="E70" s="1" t="n">
        <v>46320</v>
      </c>
      <c r="F70" t="inlineStr">
        <is>
          <t>ÖSTERGÖTLANDS LÄN</t>
        </is>
      </c>
      <c r="G70" t="inlineStr">
        <is>
          <t>MJÖLBY</t>
        </is>
      </c>
      <c r="I70" t="n">
        <v>5.1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50901-2024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45602</v>
      </c>
      <c r="E71" s="1" t="n">
        <v>46320</v>
      </c>
      <c r="F71" t="inlineStr">
        <is>
          <t>ÖSTERGÖTLANDS LÄN</t>
        </is>
      </c>
      <c r="G71" t="inlineStr">
        <is>
          <t>MJÖLBY</t>
        </is>
      </c>
      <c r="I71" t="n">
        <v>1.6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28525-2026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46197</v>
      </c>
      <c r="E72" s="1" t="n">
        <v>46320</v>
      </c>
      <c r="F72" t="inlineStr">
        <is>
          <t>ÖSTERGÖTLANDS LÄN</t>
        </is>
      </c>
      <c r="G72" t="inlineStr">
        <is>
          <t>MJÖLBY</t>
        </is>
      </c>
      <c r="H72" t="inlineStr">
        <is>
          <t>Övriga Aktiebolag</t>
        </is>
      </c>
      <c r="I72" t="n">
        <v>2.6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12769-2024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45384</v>
      </c>
      <c r="E73" s="1" t="n">
        <v>46320</v>
      </c>
      <c r="F73" t="inlineStr">
        <is>
          <t>ÖSTERGÖTLANDS LÄN</t>
        </is>
      </c>
      <c r="G73" t="inlineStr">
        <is>
          <t>MJÖLBY</t>
        </is>
      </c>
      <c r="I73" t="n">
        <v>1.7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55939-2025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45973</v>
      </c>
      <c r="E74" s="1" t="n">
        <v>46320</v>
      </c>
      <c r="F74" t="inlineStr">
        <is>
          <t>ÖSTERGÖTLANDS LÄN</t>
        </is>
      </c>
      <c r="G74" t="inlineStr">
        <is>
          <t>MJÖLBY</t>
        </is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50906-2024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45602</v>
      </c>
      <c r="E75" s="1" t="n">
        <v>46320</v>
      </c>
      <c r="F75" t="inlineStr">
        <is>
          <t>ÖSTERGÖTLANDS LÄN</t>
        </is>
      </c>
      <c r="G75" t="inlineStr">
        <is>
          <t>MJÖLBY</t>
        </is>
      </c>
      <c r="I75" t="n">
        <v>1.3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9125-2023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44980</v>
      </c>
      <c r="E76" s="1" t="n">
        <v>46320</v>
      </c>
      <c r="F76" t="inlineStr">
        <is>
          <t>ÖSTERGÖTLANDS LÄN</t>
        </is>
      </c>
      <c r="G76" t="inlineStr">
        <is>
          <t>MJÖLBY</t>
        </is>
      </c>
      <c r="H76" t="inlineStr">
        <is>
          <t>Kyrkan</t>
        </is>
      </c>
      <c r="I76" t="n">
        <v>2.9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28652-2026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46198</v>
      </c>
      <c r="E77" s="1" t="n">
        <v>46320</v>
      </c>
      <c r="F77" t="inlineStr">
        <is>
          <t>ÖSTERGÖTLANDS LÄN</t>
        </is>
      </c>
      <c r="G77" t="inlineStr">
        <is>
          <t>MJÖLBY</t>
        </is>
      </c>
      <c r="H77" t="inlineStr">
        <is>
          <t>Övriga Aktiebolag</t>
        </is>
      </c>
      <c r="I77" t="n">
        <v>1.3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16304-2024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45407</v>
      </c>
      <c r="E78" s="1" t="n">
        <v>46320</v>
      </c>
      <c r="F78" t="inlineStr">
        <is>
          <t>ÖSTERGÖTLANDS LÄN</t>
        </is>
      </c>
      <c r="G78" t="inlineStr">
        <is>
          <t>MJÖLBY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57194-2025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45979</v>
      </c>
      <c r="E79" s="1" t="n">
        <v>46320</v>
      </c>
      <c r="F79" t="inlineStr">
        <is>
          <t>ÖSTERGÖTLANDS LÄN</t>
        </is>
      </c>
      <c r="G79" t="inlineStr">
        <is>
          <t>MJÖLBY</t>
        </is>
      </c>
      <c r="I79" t="n">
        <v>1.4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57942-2025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45982</v>
      </c>
      <c r="E80" s="1" t="n">
        <v>46320</v>
      </c>
      <c r="F80" t="inlineStr">
        <is>
          <t>ÖSTERGÖTLANDS LÄN</t>
        </is>
      </c>
      <c r="G80" t="inlineStr">
        <is>
          <t>MJÖLBY</t>
        </is>
      </c>
      <c r="I80" t="n">
        <v>2.3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22328-2024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45446</v>
      </c>
      <c r="E81" s="1" t="n">
        <v>46320</v>
      </c>
      <c r="F81" t="inlineStr">
        <is>
          <t>ÖSTERGÖTLANDS LÄN</t>
        </is>
      </c>
      <c r="G81" t="inlineStr">
        <is>
          <t>MJÖLBY</t>
        </is>
      </c>
      <c r="I81" t="n">
        <v>1.9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58321-2025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45985</v>
      </c>
      <c r="E82" s="1" t="n">
        <v>46320</v>
      </c>
      <c r="F82" t="inlineStr">
        <is>
          <t>ÖSTERGÖTLANDS LÄN</t>
        </is>
      </c>
      <c r="G82" t="inlineStr">
        <is>
          <t>MJÖLBY</t>
        </is>
      </c>
      <c r="I82" t="n">
        <v>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58756-2025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45986</v>
      </c>
      <c r="E83" s="1" t="n">
        <v>46320</v>
      </c>
      <c r="F83" t="inlineStr">
        <is>
          <t>ÖSTERGÖTLANDS LÄN</t>
        </is>
      </c>
      <c r="G83" t="inlineStr">
        <is>
          <t>MJÖLBY</t>
        </is>
      </c>
      <c r="I83" t="n">
        <v>2.2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58761-2025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45986</v>
      </c>
      <c r="E84" s="1" t="n">
        <v>46320</v>
      </c>
      <c r="F84" t="inlineStr">
        <is>
          <t>ÖSTERGÖTLANDS LÄN</t>
        </is>
      </c>
      <c r="G84" t="inlineStr">
        <is>
          <t>MJÖLBY</t>
        </is>
      </c>
      <c r="I84" t="n">
        <v>1.5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58310-2025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45985</v>
      </c>
      <c r="E85" s="1" t="n">
        <v>46320</v>
      </c>
      <c r="F85" t="inlineStr">
        <is>
          <t>ÖSTERGÖTLANDS LÄN</t>
        </is>
      </c>
      <c r="G85" t="inlineStr">
        <is>
          <t>MJÖLBY</t>
        </is>
      </c>
      <c r="I85" t="n">
        <v>1.5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59105-2025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45988</v>
      </c>
      <c r="E86" s="1" t="n">
        <v>46320</v>
      </c>
      <c r="F86" t="inlineStr">
        <is>
          <t>ÖSTERGÖTLANDS LÄN</t>
        </is>
      </c>
      <c r="G86" t="inlineStr">
        <is>
          <t>MJÖLBY</t>
        </is>
      </c>
      <c r="I86" t="n">
        <v>1.3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72563-2021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44546</v>
      </c>
      <c r="E87" s="1" t="n">
        <v>46320</v>
      </c>
      <c r="F87" t="inlineStr">
        <is>
          <t>ÖSTERGÖTLANDS LÄN</t>
        </is>
      </c>
      <c r="G87" t="inlineStr">
        <is>
          <t>MJÖLBY</t>
        </is>
      </c>
      <c r="I87" t="n">
        <v>1.3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79-2024</t>
        </is>
      </c>
      <c r="B88" t="inlineStr">
        <is>
          <t>avverkningsanmälan</t>
        </is>
      </c>
      <c r="C88" t="inlineStr">
        <is>
          <t>Avverkning för att bevara och utveckla /försöksver</t>
        </is>
      </c>
      <c r="D88" s="1" t="n">
        <v>45293</v>
      </c>
      <c r="E88" s="1" t="n">
        <v>46320</v>
      </c>
      <c r="F88" t="inlineStr">
        <is>
          <t>ÖSTERGÖTLANDS LÄN</t>
        </is>
      </c>
      <c r="G88" t="inlineStr">
        <is>
          <t>MJÖLBY</t>
        </is>
      </c>
      <c r="I88" t="n">
        <v>1.5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31161-2026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46216</v>
      </c>
      <c r="E89" s="1" t="n">
        <v>46320</v>
      </c>
      <c r="F89" t="inlineStr">
        <is>
          <t>ÖSTERGÖTLANDS LÄN</t>
        </is>
      </c>
      <c r="G89" t="inlineStr">
        <is>
          <t>MJÖLBY</t>
        </is>
      </c>
      <c r="I89" t="n">
        <v>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31192-2026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46217</v>
      </c>
      <c r="E90" s="1" t="n">
        <v>46320</v>
      </c>
      <c r="F90" t="inlineStr">
        <is>
          <t>ÖSTERGÖTLANDS LÄN</t>
        </is>
      </c>
      <c r="G90" t="inlineStr">
        <is>
          <t>MJÖLBY</t>
        </is>
      </c>
      <c r="I90" t="n">
        <v>3.9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31193-2026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46217</v>
      </c>
      <c r="E91" s="1" t="n">
        <v>46320</v>
      </c>
      <c r="F91" t="inlineStr">
        <is>
          <t>ÖSTERGÖTLANDS LÄN</t>
        </is>
      </c>
      <c r="G91" t="inlineStr">
        <is>
          <t>MJÖLBY</t>
        </is>
      </c>
      <c r="I91" t="n">
        <v>2.7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961-2024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45301</v>
      </c>
      <c r="E92" s="1" t="n">
        <v>46320</v>
      </c>
      <c r="F92" t="inlineStr">
        <is>
          <t>ÖSTERGÖTLANDS LÄN</t>
        </is>
      </c>
      <c r="G92" t="inlineStr">
        <is>
          <t>MJÖLBY</t>
        </is>
      </c>
      <c r="I92" t="n">
        <v>2.3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38300-2023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45161</v>
      </c>
      <c r="E93" s="1" t="n">
        <v>46320</v>
      </c>
      <c r="F93" t="inlineStr">
        <is>
          <t>ÖSTERGÖTLANDS LÄN</t>
        </is>
      </c>
      <c r="G93" t="inlineStr">
        <is>
          <t>MJÖLBY</t>
        </is>
      </c>
      <c r="I93" t="n">
        <v>1.3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46248-2024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45581</v>
      </c>
      <c r="E94" s="1" t="n">
        <v>46320</v>
      </c>
      <c r="F94" t="inlineStr">
        <is>
          <t>ÖSTERGÖTLANDS LÄN</t>
        </is>
      </c>
      <c r="G94" t="inlineStr">
        <is>
          <t>MJÖLBY</t>
        </is>
      </c>
      <c r="I94" t="n">
        <v>0.9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62129-2025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46006</v>
      </c>
      <c r="E95" s="1" t="n">
        <v>46320</v>
      </c>
      <c r="F95" t="inlineStr">
        <is>
          <t>ÖSTERGÖTLANDS LÄN</t>
        </is>
      </c>
      <c r="G95" t="inlineStr">
        <is>
          <t>MJÖLBY</t>
        </is>
      </c>
      <c r="I95" t="n">
        <v>1.9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62123-2025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46006</v>
      </c>
      <c r="E96" s="1" t="n">
        <v>46320</v>
      </c>
      <c r="F96" t="inlineStr">
        <is>
          <t>ÖSTERGÖTLANDS LÄN</t>
        </is>
      </c>
      <c r="G96" t="inlineStr">
        <is>
          <t>MJÖLBY</t>
        </is>
      </c>
      <c r="I96" t="n">
        <v>0.5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61575-2023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45261</v>
      </c>
      <c r="E97" s="1" t="n">
        <v>46320</v>
      </c>
      <c r="F97" t="inlineStr">
        <is>
          <t>ÖSTERGÖTLANDS LÄN</t>
        </is>
      </c>
      <c r="G97" t="inlineStr">
        <is>
          <t>MJÖLBY</t>
        </is>
      </c>
      <c r="I97" t="n">
        <v>5.7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31929-2026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46232</v>
      </c>
      <c r="E98" s="1" t="n">
        <v>46320</v>
      </c>
      <c r="F98" t="inlineStr">
        <is>
          <t>ÖSTERGÖTLANDS LÄN</t>
        </is>
      </c>
      <c r="G98" t="inlineStr">
        <is>
          <t>MJÖLBY</t>
        </is>
      </c>
      <c r="I98" t="n">
        <v>0.6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28131-2026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46195</v>
      </c>
      <c r="E99" s="1" t="n">
        <v>46320</v>
      </c>
      <c r="F99" t="inlineStr">
        <is>
          <t>ÖSTERGÖTLANDS LÄN</t>
        </is>
      </c>
      <c r="G99" t="inlineStr">
        <is>
          <t>MJÖLBY</t>
        </is>
      </c>
      <c r="I99" t="n">
        <v>1.5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31928-2026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46232</v>
      </c>
      <c r="E100" s="1" t="n">
        <v>46320</v>
      </c>
      <c r="F100" t="inlineStr">
        <is>
          <t>ÖSTERGÖTLANDS LÄN</t>
        </is>
      </c>
      <c r="G100" t="inlineStr">
        <is>
          <t>MJÖLBY</t>
        </is>
      </c>
      <c r="I100" t="n">
        <v>1.5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49971-2023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45215</v>
      </c>
      <c r="E101" s="1" t="n">
        <v>46320</v>
      </c>
      <c r="F101" t="inlineStr">
        <is>
          <t>ÖSTERGÖTLANDS LÄN</t>
        </is>
      </c>
      <c r="G101" t="inlineStr">
        <is>
          <t>MJÖLBY</t>
        </is>
      </c>
      <c r="I101" t="n">
        <v>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31930-2026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46232</v>
      </c>
      <c r="E102" s="1" t="n">
        <v>46320</v>
      </c>
      <c r="F102" t="inlineStr">
        <is>
          <t>ÖSTERGÖTLANDS LÄN</t>
        </is>
      </c>
      <c r="G102" t="inlineStr">
        <is>
          <t>MJÖLBY</t>
        </is>
      </c>
      <c r="I102" t="n">
        <v>0.9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38278-2024</t>
        </is>
      </c>
      <c r="B103" t="inlineStr">
        <is>
          <t>avverkningsanmälan</t>
        </is>
      </c>
      <c r="C103" t="inlineStr">
        <is>
          <t>Avverkning för annat ändamål</t>
        </is>
      </c>
      <c r="D103" s="1" t="n">
        <v>45545</v>
      </c>
      <c r="E103" s="1" t="n">
        <v>46320</v>
      </c>
      <c r="F103" t="inlineStr">
        <is>
          <t>ÖSTERGÖTLANDS LÄN</t>
        </is>
      </c>
      <c r="G103" t="inlineStr">
        <is>
          <t>MJÖLBY</t>
        </is>
      </c>
      <c r="I103" t="n">
        <v>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12675-2024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45384</v>
      </c>
      <c r="E104" s="1" t="n">
        <v>46320</v>
      </c>
      <c r="F104" t="inlineStr">
        <is>
          <t>ÖSTERGÖTLANDS LÄN</t>
        </is>
      </c>
      <c r="G104" t="inlineStr">
        <is>
          <t>MJÖLBY</t>
        </is>
      </c>
      <c r="I104" t="n">
        <v>2.4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37083-2024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45539</v>
      </c>
      <c r="E105" s="1" t="n">
        <v>46320</v>
      </c>
      <c r="F105" t="inlineStr">
        <is>
          <t>ÖSTERGÖTLANDS LÄN</t>
        </is>
      </c>
      <c r="G105" t="inlineStr">
        <is>
          <t>MJÖLBY</t>
        </is>
      </c>
      <c r="I105" t="n">
        <v>1.2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37888-2026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46279</v>
      </c>
      <c r="E106" s="1" t="n">
        <v>46320</v>
      </c>
      <c r="F106" t="inlineStr">
        <is>
          <t>ÖSTERGÖTLANDS LÄN</t>
        </is>
      </c>
      <c r="G106" t="inlineStr">
        <is>
          <t>MJÖLBY</t>
        </is>
      </c>
      <c r="H106" t="inlineStr">
        <is>
          <t>Kyrkan</t>
        </is>
      </c>
      <c r="I106" t="n">
        <v>3.2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32317-2026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46237</v>
      </c>
      <c r="E107" s="1" t="n">
        <v>46320</v>
      </c>
      <c r="F107" t="inlineStr">
        <is>
          <t>ÖSTERGÖTLANDS LÄN</t>
        </is>
      </c>
      <c r="G107" t="inlineStr">
        <is>
          <t>MJÖLBY</t>
        </is>
      </c>
      <c r="I107" t="n">
        <v>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63445-2025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46013</v>
      </c>
      <c r="E108" s="1" t="n">
        <v>46320</v>
      </c>
      <c r="F108" t="inlineStr">
        <is>
          <t>ÖSTERGÖTLANDS LÄN</t>
        </is>
      </c>
      <c r="G108" t="inlineStr">
        <is>
          <t>MJÖLBY</t>
        </is>
      </c>
      <c r="I108" t="n">
        <v>1.5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13560-2025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45736</v>
      </c>
      <c r="E109" s="1" t="n">
        <v>46320</v>
      </c>
      <c r="F109" t="inlineStr">
        <is>
          <t>ÖSTERGÖTLANDS LÄN</t>
        </is>
      </c>
      <c r="G109" t="inlineStr">
        <is>
          <t>MJÖLBY</t>
        </is>
      </c>
      <c r="I109" t="n">
        <v>1.5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34664-2024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45526</v>
      </c>
      <c r="E110" s="1" t="n">
        <v>46320</v>
      </c>
      <c r="F110" t="inlineStr">
        <is>
          <t>ÖSTERGÖTLANDS LÄN</t>
        </is>
      </c>
      <c r="G110" t="inlineStr">
        <is>
          <t>MJÖLBY</t>
        </is>
      </c>
      <c r="I110" t="n">
        <v>1.1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32558-2026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46239</v>
      </c>
      <c r="E111" s="1" t="n">
        <v>46320</v>
      </c>
      <c r="F111" t="inlineStr">
        <is>
          <t>ÖSTERGÖTLANDS LÄN</t>
        </is>
      </c>
      <c r="G111" t="inlineStr">
        <is>
          <t>MJÖLBY</t>
        </is>
      </c>
      <c r="H111" t="inlineStr">
        <is>
          <t>Övriga Aktiebolag</t>
        </is>
      </c>
      <c r="I111" t="n">
        <v>1.7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32574-2026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46239</v>
      </c>
      <c r="E112" s="1" t="n">
        <v>46320</v>
      </c>
      <c r="F112" t="inlineStr">
        <is>
          <t>ÖSTERGÖTLANDS LÄN</t>
        </is>
      </c>
      <c r="G112" t="inlineStr">
        <is>
          <t>MJÖLBY</t>
        </is>
      </c>
      <c r="H112" t="inlineStr">
        <is>
          <t>Övriga Aktiebolag</t>
        </is>
      </c>
      <c r="I112" t="n">
        <v>1.5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32564-2026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46239</v>
      </c>
      <c r="E113" s="1" t="n">
        <v>46320</v>
      </c>
      <c r="F113" t="inlineStr">
        <is>
          <t>ÖSTERGÖTLANDS LÄN</t>
        </is>
      </c>
      <c r="G113" t="inlineStr">
        <is>
          <t>MJÖLBY</t>
        </is>
      </c>
      <c r="H113" t="inlineStr">
        <is>
          <t>Övriga Aktiebolag</t>
        </is>
      </c>
      <c r="I113" t="n">
        <v>1.2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23114-2025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45791</v>
      </c>
      <c r="E114" s="1" t="n">
        <v>46320</v>
      </c>
      <c r="F114" t="inlineStr">
        <is>
          <t>ÖSTERGÖTLANDS LÄN</t>
        </is>
      </c>
      <c r="G114" t="inlineStr">
        <is>
          <t>MJÖLBY</t>
        </is>
      </c>
      <c r="I114" t="n">
        <v>0.7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2749-2024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45314</v>
      </c>
      <c r="E115" s="1" t="n">
        <v>46320</v>
      </c>
      <c r="F115" t="inlineStr">
        <is>
          <t>ÖSTERGÖTLANDS LÄN</t>
        </is>
      </c>
      <c r="G115" t="inlineStr">
        <is>
          <t>MJÖLBY</t>
        </is>
      </c>
      <c r="I115" t="n">
        <v>0.7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57284-2024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45629</v>
      </c>
      <c r="E116" s="1" t="n">
        <v>46320</v>
      </c>
      <c r="F116" t="inlineStr">
        <is>
          <t>ÖSTERGÖTLANDS LÄN</t>
        </is>
      </c>
      <c r="G116" t="inlineStr">
        <is>
          <t>MJÖLBY</t>
        </is>
      </c>
      <c r="I116" t="n">
        <v>2.2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24499-2025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45798</v>
      </c>
      <c r="E117" s="1" t="n">
        <v>46320</v>
      </c>
      <c r="F117" t="inlineStr">
        <is>
          <t>ÖSTERGÖTLANDS LÄN</t>
        </is>
      </c>
      <c r="G117" t="inlineStr">
        <is>
          <t>MJÖLBY</t>
        </is>
      </c>
      <c r="I117" t="n">
        <v>0.8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4837-2026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46048</v>
      </c>
      <c r="E118" s="1" t="n">
        <v>46320</v>
      </c>
      <c r="F118" t="inlineStr">
        <is>
          <t>ÖSTERGÖTLANDS LÄN</t>
        </is>
      </c>
      <c r="G118" t="inlineStr">
        <is>
          <t>MJÖLBY</t>
        </is>
      </c>
      <c r="I118" t="n">
        <v>1.3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4852-2026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46048</v>
      </c>
      <c r="E119" s="1" t="n">
        <v>46320</v>
      </c>
      <c r="F119" t="inlineStr">
        <is>
          <t>ÖSTERGÖTLANDS LÄN</t>
        </is>
      </c>
      <c r="G119" t="inlineStr">
        <is>
          <t>MJÖLBY</t>
        </is>
      </c>
      <c r="I119" t="n">
        <v>5.9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38985-2026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46286</v>
      </c>
      <c r="E120" s="1" t="n">
        <v>46320</v>
      </c>
      <c r="F120" t="inlineStr">
        <is>
          <t>ÖSTERGÖTLANDS LÄN</t>
        </is>
      </c>
      <c r="G120" t="inlineStr">
        <is>
          <t>MJÖLBY</t>
        </is>
      </c>
      <c r="I120" t="n">
        <v>2.2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33010-2026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46244</v>
      </c>
      <c r="E121" s="1" t="n">
        <v>46320</v>
      </c>
      <c r="F121" t="inlineStr">
        <is>
          <t>ÖSTERGÖTLANDS LÄN</t>
        </is>
      </c>
      <c r="G121" t="inlineStr">
        <is>
          <t>MJÖLBY</t>
        </is>
      </c>
      <c r="I121" t="n">
        <v>2.5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18740-2025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45763</v>
      </c>
      <c r="E122" s="1" t="n">
        <v>46320</v>
      </c>
      <c r="F122" t="inlineStr">
        <is>
          <t>ÖSTERGÖTLANDS LÄN</t>
        </is>
      </c>
      <c r="G122" t="inlineStr">
        <is>
          <t>MJÖLBY</t>
        </is>
      </c>
      <c r="I122" t="n">
        <v>2.5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39762-2026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46290</v>
      </c>
      <c r="E123" s="1" t="n">
        <v>46320</v>
      </c>
      <c r="F123" t="inlineStr">
        <is>
          <t>ÖSTERGÖTLANDS LÄN</t>
        </is>
      </c>
      <c r="G123" t="inlineStr">
        <is>
          <t>MJÖLBY</t>
        </is>
      </c>
      <c r="I123" t="n">
        <v>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39898-2026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46290</v>
      </c>
      <c r="E124" s="1" t="n">
        <v>46320</v>
      </c>
      <c r="F124" t="inlineStr">
        <is>
          <t>ÖSTERGÖTLANDS LÄN</t>
        </is>
      </c>
      <c r="G124" t="inlineStr">
        <is>
          <t>MJÖLBY</t>
        </is>
      </c>
      <c r="I124" t="n">
        <v>4.5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27232-2025</t>
        </is>
      </c>
      <c r="B125" t="inlineStr">
        <is>
          <t>avverkningsanmälan</t>
        </is>
      </c>
      <c r="C125" t="inlineStr">
        <is>
          <t>Avverkning för annat ändamål</t>
        </is>
      </c>
      <c r="D125" s="1" t="n">
        <v>45812</v>
      </c>
      <c r="E125" s="1" t="n">
        <v>46320</v>
      </c>
      <c r="F125" t="inlineStr">
        <is>
          <t>ÖSTERGÖTLANDS LÄN</t>
        </is>
      </c>
      <c r="G125" t="inlineStr">
        <is>
          <t>MJÖLBY</t>
        </is>
      </c>
      <c r="I125" t="n">
        <v>1.6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28663-2025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45819</v>
      </c>
      <c r="E126" s="1" t="n">
        <v>46320</v>
      </c>
      <c r="F126" t="inlineStr">
        <is>
          <t>ÖSTERGÖTLANDS LÄN</t>
        </is>
      </c>
      <c r="G126" t="inlineStr">
        <is>
          <t>MJÖLBY</t>
        </is>
      </c>
      <c r="I126" t="n">
        <v>2.3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34162-2026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46253</v>
      </c>
      <c r="E127" s="1" t="n">
        <v>46320</v>
      </c>
      <c r="F127" t="inlineStr">
        <is>
          <t>ÖSTERGÖTLANDS LÄN</t>
        </is>
      </c>
      <c r="G127" t="inlineStr">
        <is>
          <t>MJÖLBY</t>
        </is>
      </c>
      <c r="H127" t="inlineStr">
        <is>
          <t>Övriga Aktiebolag</t>
        </is>
      </c>
      <c r="I127" t="n">
        <v>1.3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11064-2026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46079</v>
      </c>
      <c r="E128" s="1" t="n">
        <v>46320</v>
      </c>
      <c r="F128" t="inlineStr">
        <is>
          <t>ÖSTERGÖTLANDS LÄN</t>
        </is>
      </c>
      <c r="G128" t="inlineStr">
        <is>
          <t>MJÖLBY</t>
        </is>
      </c>
      <c r="I128" t="n">
        <v>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23781-2025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45793</v>
      </c>
      <c r="E129" s="1" t="n">
        <v>46320</v>
      </c>
      <c r="F129" t="inlineStr">
        <is>
          <t>ÖSTERGÖTLANDS LÄN</t>
        </is>
      </c>
      <c r="G129" t="inlineStr">
        <is>
          <t>MJÖLBY</t>
        </is>
      </c>
      <c r="I129" t="n">
        <v>1.5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41074-2026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46300</v>
      </c>
      <c r="E130" s="1" t="n">
        <v>46320</v>
      </c>
      <c r="F130" t="inlineStr">
        <is>
          <t>ÖSTERGÖTLANDS LÄN</t>
        </is>
      </c>
      <c r="G130" t="inlineStr">
        <is>
          <t>MJÖLBY</t>
        </is>
      </c>
      <c r="H130" t="inlineStr">
        <is>
          <t>Sveaskog</t>
        </is>
      </c>
      <c r="I130" t="n">
        <v>2.5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31623-2025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45834</v>
      </c>
      <c r="E131" s="1" t="n">
        <v>46320</v>
      </c>
      <c r="F131" t="inlineStr">
        <is>
          <t>ÖSTERGÖTLANDS LÄN</t>
        </is>
      </c>
      <c r="G131" t="inlineStr">
        <is>
          <t>MJÖLBY</t>
        </is>
      </c>
      <c r="I131" t="n">
        <v>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34172-2026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46253</v>
      </c>
      <c r="E132" s="1" t="n">
        <v>46320</v>
      </c>
      <c r="F132" t="inlineStr">
        <is>
          <t>ÖSTERGÖTLANDS LÄN</t>
        </is>
      </c>
      <c r="G132" t="inlineStr">
        <is>
          <t>MJÖLBY</t>
        </is>
      </c>
      <c r="H132" t="inlineStr">
        <is>
          <t>Övriga Aktiebolag</t>
        </is>
      </c>
      <c r="I132" t="n">
        <v>0.6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31624-2025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45834</v>
      </c>
      <c r="E133" s="1" t="n">
        <v>46320</v>
      </c>
      <c r="F133" t="inlineStr">
        <is>
          <t>ÖSTERGÖTLANDS LÄN</t>
        </is>
      </c>
      <c r="G133" t="inlineStr">
        <is>
          <t>MJÖLBY</t>
        </is>
      </c>
      <c r="I133" t="n">
        <v>4.5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34167-2026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46253</v>
      </c>
      <c r="E134" s="1" t="n">
        <v>46320</v>
      </c>
      <c r="F134" t="inlineStr">
        <is>
          <t>ÖSTERGÖTLANDS LÄN</t>
        </is>
      </c>
      <c r="G134" t="inlineStr">
        <is>
          <t>MJÖLBY</t>
        </is>
      </c>
      <c r="H134" t="inlineStr">
        <is>
          <t>Övriga Aktiebolag</t>
        </is>
      </c>
      <c r="I134" t="n">
        <v>0.7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72558-2021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44546</v>
      </c>
      <c r="E135" s="1" t="n">
        <v>46320</v>
      </c>
      <c r="F135" t="inlineStr">
        <is>
          <t>ÖSTERGÖTLANDS LÄN</t>
        </is>
      </c>
      <c r="G135" t="inlineStr">
        <is>
          <t>MJÖLBY</t>
        </is>
      </c>
      <c r="I135" t="n">
        <v>0.9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41073-2026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46300</v>
      </c>
      <c r="E136" s="1" t="n">
        <v>46320</v>
      </c>
      <c r="F136" t="inlineStr">
        <is>
          <t>ÖSTERGÖTLANDS LÄN</t>
        </is>
      </c>
      <c r="G136" t="inlineStr">
        <is>
          <t>MJÖLBY</t>
        </is>
      </c>
      <c r="H136" t="inlineStr">
        <is>
          <t>Sveaskog</t>
        </is>
      </c>
      <c r="I136" t="n">
        <v>6.5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41077-2026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46300</v>
      </c>
      <c r="E137" s="1" t="n">
        <v>46320</v>
      </c>
      <c r="F137" t="inlineStr">
        <is>
          <t>ÖSTERGÖTLANDS LÄN</t>
        </is>
      </c>
      <c r="G137" t="inlineStr">
        <is>
          <t>MJÖLBY</t>
        </is>
      </c>
      <c r="H137" t="inlineStr">
        <is>
          <t>Sveaskog</t>
        </is>
      </c>
      <c r="I137" t="n">
        <v>7.6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14928-2026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46104</v>
      </c>
      <c r="E138" s="1" t="n">
        <v>46320</v>
      </c>
      <c r="F138" t="inlineStr">
        <is>
          <t>ÖSTERGÖTLANDS LÄN</t>
        </is>
      </c>
      <c r="G138" t="inlineStr">
        <is>
          <t>MJÖLBY</t>
        </is>
      </c>
      <c r="H138" t="inlineStr">
        <is>
          <t>Övriga Aktiebolag</t>
        </is>
      </c>
      <c r="I138" t="n">
        <v>2.3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50339-2023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45216</v>
      </c>
      <c r="E139" s="1" t="n">
        <v>46320</v>
      </c>
      <c r="F139" t="inlineStr">
        <is>
          <t>ÖSTERGÖTLANDS LÄN</t>
        </is>
      </c>
      <c r="G139" t="inlineStr">
        <is>
          <t>MJÖLBY</t>
        </is>
      </c>
      <c r="I139" t="n">
        <v>2.8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15032-2026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46104</v>
      </c>
      <c r="E140" s="1" t="n">
        <v>46320</v>
      </c>
      <c r="F140" t="inlineStr">
        <is>
          <t>ÖSTERGÖTLANDS LÄN</t>
        </is>
      </c>
      <c r="G140" t="inlineStr">
        <is>
          <t>MJÖLBY</t>
        </is>
      </c>
      <c r="H140" t="inlineStr">
        <is>
          <t>Övriga Aktiebolag</t>
        </is>
      </c>
      <c r="I140" t="n">
        <v>2.1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37806-2022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44810</v>
      </c>
      <c r="E141" s="1" t="n">
        <v>46320</v>
      </c>
      <c r="F141" t="inlineStr">
        <is>
          <t>ÖSTERGÖTLANDS LÄN</t>
        </is>
      </c>
      <c r="G141" t="inlineStr">
        <is>
          <t>MJÖLBY</t>
        </is>
      </c>
      <c r="I141" t="n">
        <v>1.9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34730-2026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46258</v>
      </c>
      <c r="E142" s="1" t="n">
        <v>46320</v>
      </c>
      <c r="F142" t="inlineStr">
        <is>
          <t>ÖSTERGÖTLANDS LÄN</t>
        </is>
      </c>
      <c r="G142" t="inlineStr">
        <is>
          <t>MJÖLBY</t>
        </is>
      </c>
      <c r="H142" t="inlineStr">
        <is>
          <t>Övriga Aktiebolag</t>
        </is>
      </c>
      <c r="I142" t="n">
        <v>1.5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16110-2026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46108</v>
      </c>
      <c r="E143" s="1" t="n">
        <v>46320</v>
      </c>
      <c r="F143" t="inlineStr">
        <is>
          <t>ÖSTERGÖTLANDS LÄN</t>
        </is>
      </c>
      <c r="G143" t="inlineStr">
        <is>
          <t>MJÖLBY</t>
        </is>
      </c>
      <c r="I143" t="n">
        <v>1.5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34794-2026</t>
        </is>
      </c>
      <c r="B144" t="inlineStr">
        <is>
          <t>avverkningsanmälan</t>
        </is>
      </c>
      <c r="C144" t="inlineStr">
        <is>
          <t>Avverkning för att bevara och utveckla /försöksver</t>
        </is>
      </c>
      <c r="D144" s="1" t="n">
        <v>46258</v>
      </c>
      <c r="E144" s="1" t="n">
        <v>46320</v>
      </c>
      <c r="F144" t="inlineStr">
        <is>
          <t>ÖSTERGÖTLANDS LÄN</t>
        </is>
      </c>
      <c r="G144" t="inlineStr">
        <is>
          <t>MJÖLBY</t>
        </is>
      </c>
      <c r="H144" t="inlineStr">
        <is>
          <t>Övriga Aktiebolag</t>
        </is>
      </c>
      <c r="I144" t="n">
        <v>2.1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34748-2026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46258</v>
      </c>
      <c r="E145" s="1" t="n">
        <v>46320</v>
      </c>
      <c r="F145" t="inlineStr">
        <is>
          <t>ÖSTERGÖTLANDS LÄN</t>
        </is>
      </c>
      <c r="G145" t="inlineStr">
        <is>
          <t>MJÖLBY</t>
        </is>
      </c>
      <c r="H145" t="inlineStr">
        <is>
          <t>Övriga Aktiebolag</t>
        </is>
      </c>
      <c r="I145" t="n">
        <v>2.3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41979-2026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46303</v>
      </c>
      <c r="E146" s="1" t="n">
        <v>46320</v>
      </c>
      <c r="F146" t="inlineStr">
        <is>
          <t>ÖSTERGÖTLANDS LÄN</t>
        </is>
      </c>
      <c r="G146" t="inlineStr">
        <is>
          <t>MJÖLBY</t>
        </is>
      </c>
      <c r="I146" t="n">
        <v>1.3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37802-2022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44810</v>
      </c>
      <c r="E147" s="1" t="n">
        <v>46320</v>
      </c>
      <c r="F147" t="inlineStr">
        <is>
          <t>ÖSTERGÖTLANDS LÄN</t>
        </is>
      </c>
      <c r="G147" t="inlineStr">
        <is>
          <t>MJÖLBY</t>
        </is>
      </c>
      <c r="I147" t="n">
        <v>4.7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41779-2026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46302</v>
      </c>
      <c r="E148" s="1" t="n">
        <v>46320</v>
      </c>
      <c r="F148" t="inlineStr">
        <is>
          <t>ÖSTERGÖTLANDS LÄN</t>
        </is>
      </c>
      <c r="G148" t="inlineStr">
        <is>
          <t>MJÖLBY</t>
        </is>
      </c>
      <c r="I148" t="n">
        <v>4.4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17699-2026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46121</v>
      </c>
      <c r="E149" s="1" t="n">
        <v>46320</v>
      </c>
      <c r="F149" t="inlineStr">
        <is>
          <t>ÖSTERGÖTLANDS LÄN</t>
        </is>
      </c>
      <c r="G149" t="inlineStr">
        <is>
          <t>MJÖLBY</t>
        </is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17700-2026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46121</v>
      </c>
      <c r="E150" s="1" t="n">
        <v>46320</v>
      </c>
      <c r="F150" t="inlineStr">
        <is>
          <t>ÖSTERGÖTLANDS LÄN</t>
        </is>
      </c>
      <c r="G150" t="inlineStr">
        <is>
          <t>MJÖLBY</t>
        </is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66977-2021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44522</v>
      </c>
      <c r="E151" s="1" t="n">
        <v>46320</v>
      </c>
      <c r="F151" t="inlineStr">
        <is>
          <t>ÖSTERGÖTLANDS LÄN</t>
        </is>
      </c>
      <c r="G151" t="inlineStr">
        <is>
          <t>MJÖLBY</t>
        </is>
      </c>
      <c r="I151" t="n">
        <v>0.7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18517-2026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46127</v>
      </c>
      <c r="E152" s="1" t="n">
        <v>46320</v>
      </c>
      <c r="F152" t="inlineStr">
        <is>
          <t>ÖSTERGÖTLANDS LÄN</t>
        </is>
      </c>
      <c r="G152" t="inlineStr">
        <is>
          <t>MJÖLBY</t>
        </is>
      </c>
      <c r="H152" t="inlineStr">
        <is>
          <t>Övriga Aktiebolag</t>
        </is>
      </c>
      <c r="I152" t="n">
        <v>3.3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38199-2025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45882</v>
      </c>
      <c r="E153" s="1" t="n">
        <v>46320</v>
      </c>
      <c r="F153" t="inlineStr">
        <is>
          <t>ÖSTERGÖTLANDS LÄN</t>
        </is>
      </c>
      <c r="G153" t="inlineStr">
        <is>
          <t>MJÖLBY</t>
        </is>
      </c>
      <c r="I153" t="n">
        <v>1.1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39965-2025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45892</v>
      </c>
      <c r="E154" s="1" t="n">
        <v>46320</v>
      </c>
      <c r="F154" t="inlineStr">
        <is>
          <t>ÖSTERGÖTLANDS LÄN</t>
        </is>
      </c>
      <c r="G154" t="inlineStr">
        <is>
          <t>MJÖLBY</t>
        </is>
      </c>
      <c r="I154" t="n">
        <v>1.3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27255-2025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45812</v>
      </c>
      <c r="E155" s="1" t="n">
        <v>46320</v>
      </c>
      <c r="F155" t="inlineStr">
        <is>
          <t>ÖSTERGÖTLANDS LÄN</t>
        </is>
      </c>
      <c r="G155" t="inlineStr">
        <is>
          <t>MJÖLBY</t>
        </is>
      </c>
      <c r="I155" t="n">
        <v>1.5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65921-2021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44517</v>
      </c>
      <c r="E156" s="1" t="n">
        <v>46320</v>
      </c>
      <c r="F156" t="inlineStr">
        <is>
          <t>ÖSTERGÖTLANDS LÄN</t>
        </is>
      </c>
      <c r="G156" t="inlineStr">
        <is>
          <t>MJÖLBY</t>
        </is>
      </c>
      <c r="I156" t="n">
        <v>2.1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27251-2025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45812</v>
      </c>
      <c r="E157" s="1" t="n">
        <v>46320</v>
      </c>
      <c r="F157" t="inlineStr">
        <is>
          <t>ÖSTERGÖTLANDS LÄN</t>
        </is>
      </c>
      <c r="G157" t="inlineStr">
        <is>
          <t>MJÖLBY</t>
        </is>
      </c>
      <c r="I157" t="n">
        <v>1.2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41105-2025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45898</v>
      </c>
      <c r="E158" s="1" t="n">
        <v>46320</v>
      </c>
      <c r="F158" t="inlineStr">
        <is>
          <t>ÖSTERGÖTLANDS LÄN</t>
        </is>
      </c>
      <c r="G158" t="inlineStr">
        <is>
          <t>MJÖLBY</t>
        </is>
      </c>
      <c r="I158" t="n">
        <v>1.1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29580-2025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45825</v>
      </c>
      <c r="E159" s="1" t="n">
        <v>46320</v>
      </c>
      <c r="F159" t="inlineStr">
        <is>
          <t>ÖSTERGÖTLANDS LÄN</t>
        </is>
      </c>
      <c r="G159" t="inlineStr">
        <is>
          <t>MJÖLBY</t>
        </is>
      </c>
      <c r="I159" t="n">
        <v>1.2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36206-2026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46267</v>
      </c>
      <c r="E160" s="1" t="n">
        <v>46320</v>
      </c>
      <c r="F160" t="inlineStr">
        <is>
          <t>ÖSTERGÖTLANDS LÄN</t>
        </is>
      </c>
      <c r="G160" t="inlineStr">
        <is>
          <t>MJÖLBY</t>
        </is>
      </c>
      <c r="I160" t="n">
        <v>1.2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50179-2023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45208</v>
      </c>
      <c r="E161" s="1" t="n">
        <v>46320</v>
      </c>
      <c r="F161" t="inlineStr">
        <is>
          <t>ÖSTERGÖTLANDS LÄN</t>
        </is>
      </c>
      <c r="G161" t="inlineStr">
        <is>
          <t>MJÖLBY</t>
        </is>
      </c>
      <c r="I161" t="n">
        <v>5.6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36209-2026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46267</v>
      </c>
      <c r="E162" s="1" t="n">
        <v>46320</v>
      </c>
      <c r="F162" t="inlineStr">
        <is>
          <t>ÖSTERGÖTLANDS LÄN</t>
        </is>
      </c>
      <c r="G162" t="inlineStr">
        <is>
          <t>MJÖLBY</t>
        </is>
      </c>
      <c r="I162" t="n">
        <v>0.5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50570-2023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45217</v>
      </c>
      <c r="E163" s="1" t="n">
        <v>46320</v>
      </c>
      <c r="F163" t="inlineStr">
        <is>
          <t>ÖSTERGÖTLANDS LÄN</t>
        </is>
      </c>
      <c r="G163" t="inlineStr">
        <is>
          <t>MJÖLBY</t>
        </is>
      </c>
      <c r="I163" t="n">
        <v>0.5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39950-2024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45553</v>
      </c>
      <c r="E164" s="1" t="n">
        <v>46320</v>
      </c>
      <c r="F164" t="inlineStr">
        <is>
          <t>ÖSTERGÖTLANDS LÄN</t>
        </is>
      </c>
      <c r="G164" t="inlineStr">
        <is>
          <t>MJÖLBY</t>
        </is>
      </c>
      <c r="H164" t="inlineStr">
        <is>
          <t>Kyrkan</t>
        </is>
      </c>
      <c r="I164" t="n">
        <v>2.6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31010-2022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44768</v>
      </c>
      <c r="E165" s="1" t="n">
        <v>46320</v>
      </c>
      <c r="F165" t="inlineStr">
        <is>
          <t>ÖSTERGÖTLANDS LÄN</t>
        </is>
      </c>
      <c r="G165" t="inlineStr">
        <is>
          <t>MJÖLBY</t>
        </is>
      </c>
      <c r="I165" t="n">
        <v>1.7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20357-2026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46139</v>
      </c>
      <c r="E166" s="1" t="n">
        <v>46320</v>
      </c>
      <c r="F166" t="inlineStr">
        <is>
          <t>ÖSTERGÖTLANDS LÄN</t>
        </is>
      </c>
      <c r="G166" t="inlineStr">
        <is>
          <t>MJÖLBY</t>
        </is>
      </c>
      <c r="I166" t="n">
        <v>0.5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4821-2023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44957</v>
      </c>
      <c r="E167" s="1" t="n">
        <v>46320</v>
      </c>
      <c r="F167" t="inlineStr">
        <is>
          <t>ÖSTERGÖTLANDS LÄN</t>
        </is>
      </c>
      <c r="G167" t="inlineStr">
        <is>
          <t>MJÖLBY</t>
        </is>
      </c>
      <c r="I167" t="n">
        <v>0.5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10980-2024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45370</v>
      </c>
      <c r="E168" s="1" t="n">
        <v>46320</v>
      </c>
      <c r="F168" t="inlineStr">
        <is>
          <t>ÖSTERGÖTLANDS LÄN</t>
        </is>
      </c>
      <c r="G168" t="inlineStr">
        <is>
          <t>MJÖLBY</t>
        </is>
      </c>
      <c r="I168" t="n">
        <v>0.6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43012-2024</t>
        </is>
      </c>
      <c r="B169" t="inlineStr">
        <is>
          <t>avverkningsanmälan</t>
        </is>
      </c>
      <c r="C169" t="inlineStr">
        <is>
          <t>Avverkning för annat ändamål</t>
        </is>
      </c>
      <c r="D169" s="1" t="n">
        <v>45567</v>
      </c>
      <c r="E169" s="1" t="n">
        <v>46320</v>
      </c>
      <c r="F169" t="inlineStr">
        <is>
          <t>ÖSTERGÖTLANDS LÄN</t>
        </is>
      </c>
      <c r="G169" t="inlineStr">
        <is>
          <t>MJÖLBY</t>
        </is>
      </c>
      <c r="I169" t="n">
        <v>1.7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60964-2023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45261</v>
      </c>
      <c r="E170" s="1" t="n">
        <v>46320</v>
      </c>
      <c r="F170" t="inlineStr">
        <is>
          <t>ÖSTERGÖTLANDS LÄN</t>
        </is>
      </c>
      <c r="G170" t="inlineStr">
        <is>
          <t>MJÖLBY</t>
        </is>
      </c>
      <c r="I170" t="n">
        <v>1.2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15276-2022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44659</v>
      </c>
      <c r="E171" s="1" t="n">
        <v>46320</v>
      </c>
      <c r="F171" t="inlineStr">
        <is>
          <t>ÖSTERGÖTLANDS LÄN</t>
        </is>
      </c>
      <c r="G171" t="inlineStr">
        <is>
          <t>MJÖLBY</t>
        </is>
      </c>
      <c r="H171" t="inlineStr">
        <is>
          <t>Kyrkan</t>
        </is>
      </c>
      <c r="I171" t="n">
        <v>7.6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16173-2026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46111</v>
      </c>
      <c r="E172" s="1" t="n">
        <v>46320</v>
      </c>
      <c r="F172" t="inlineStr">
        <is>
          <t>ÖSTERGÖTLANDS LÄN</t>
        </is>
      </c>
      <c r="G172" t="inlineStr">
        <is>
          <t>MJÖLBY</t>
        </is>
      </c>
      <c r="H172" t="inlineStr">
        <is>
          <t>Övriga Aktiebolag</t>
        </is>
      </c>
      <c r="I172" t="n">
        <v>1.5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62447-2025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46007</v>
      </c>
      <c r="E173" s="1" t="n">
        <v>46320</v>
      </c>
      <c r="F173" t="inlineStr">
        <is>
          <t>ÖSTERGÖTLANDS LÄN</t>
        </is>
      </c>
      <c r="G173" t="inlineStr">
        <is>
          <t>MJÖLBY</t>
        </is>
      </c>
      <c r="H173" t="inlineStr">
        <is>
          <t>Kommuner</t>
        </is>
      </c>
      <c r="I173" t="n">
        <v>3.4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28321-2025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45818</v>
      </c>
      <c r="E174" s="1" t="n">
        <v>46320</v>
      </c>
      <c r="F174" t="inlineStr">
        <is>
          <t>ÖSTERGÖTLANDS LÄN</t>
        </is>
      </c>
      <c r="G174" t="inlineStr">
        <is>
          <t>MJÖLBY</t>
        </is>
      </c>
      <c r="I174" t="n">
        <v>2.2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43703-2026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46316</v>
      </c>
      <c r="E175" s="1" t="n">
        <v>46320</v>
      </c>
      <c r="F175" t="inlineStr">
        <is>
          <t>ÖSTERGÖTLANDS LÄN</t>
        </is>
      </c>
      <c r="G175" t="inlineStr">
        <is>
          <t>MJÖLBY</t>
        </is>
      </c>
      <c r="I175" t="n">
        <v>2.9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37364-2026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46275</v>
      </c>
      <c r="E176" s="1" t="n">
        <v>46320</v>
      </c>
      <c r="F176" t="inlineStr">
        <is>
          <t>ÖSTERGÖTLANDS LÄN</t>
        </is>
      </c>
      <c r="G176" t="inlineStr">
        <is>
          <t>MJÖLBY</t>
        </is>
      </c>
      <c r="I176" t="n">
        <v>8.5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37367-2026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46275</v>
      </c>
      <c r="E177" s="1" t="n">
        <v>46320</v>
      </c>
      <c r="F177" t="inlineStr">
        <is>
          <t>ÖSTERGÖTLANDS LÄN</t>
        </is>
      </c>
      <c r="G177" t="inlineStr">
        <is>
          <t>MJÖLBY</t>
        </is>
      </c>
      <c r="I177" t="n">
        <v>5.7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1293-2023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44936</v>
      </c>
      <c r="E178" s="1" t="n">
        <v>46320</v>
      </c>
      <c r="F178" t="inlineStr">
        <is>
          <t>ÖSTERGÖTLANDS LÄN</t>
        </is>
      </c>
      <c r="G178" t="inlineStr">
        <is>
          <t>MJÖLBY</t>
        </is>
      </c>
      <c r="I178" t="n">
        <v>1.2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37226-2026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46274</v>
      </c>
      <c r="E179" s="1" t="n">
        <v>46320</v>
      </c>
      <c r="F179" t="inlineStr">
        <is>
          <t>ÖSTERGÖTLANDS LÄN</t>
        </is>
      </c>
      <c r="G179" t="inlineStr">
        <is>
          <t>MJÖLBY</t>
        </is>
      </c>
      <c r="H179" t="inlineStr">
        <is>
          <t>Kyrkan</t>
        </is>
      </c>
      <c r="I179" t="n">
        <v>1.9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37174-2026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46274</v>
      </c>
      <c r="E180" s="1" t="n">
        <v>46320</v>
      </c>
      <c r="F180" t="inlineStr">
        <is>
          <t>ÖSTERGÖTLANDS LÄN</t>
        </is>
      </c>
      <c r="G180" t="inlineStr">
        <is>
          <t>MJÖLBY</t>
        </is>
      </c>
      <c r="H180" t="inlineStr">
        <is>
          <t>Kyrkan</t>
        </is>
      </c>
      <c r="I180" t="n">
        <v>3.1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64934-2023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45282</v>
      </c>
      <c r="E181" s="1" t="n">
        <v>46320</v>
      </c>
      <c r="F181" t="inlineStr">
        <is>
          <t>ÖSTERGÖTLANDS LÄN</t>
        </is>
      </c>
      <c r="G181" t="inlineStr">
        <is>
          <t>MJÖLBY</t>
        </is>
      </c>
      <c r="I181" t="n">
        <v>1.3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59234-2022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44904</v>
      </c>
      <c r="E182" s="1" t="n">
        <v>46320</v>
      </c>
      <c r="F182" t="inlineStr">
        <is>
          <t>ÖSTERGÖTLANDS LÄN</t>
        </is>
      </c>
      <c r="G182" t="inlineStr">
        <is>
          <t>MJÖLBY</t>
        </is>
      </c>
      <c r="H182" t="inlineStr">
        <is>
          <t>Övriga Aktiebolag</t>
        </is>
      </c>
      <c r="I182" t="n">
        <v>2.5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37355-2026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46275</v>
      </c>
      <c r="E183" s="1" t="n">
        <v>46320</v>
      </c>
      <c r="F183" t="inlineStr">
        <is>
          <t>ÖSTERGÖTLANDS LÄN</t>
        </is>
      </c>
      <c r="G183" t="inlineStr">
        <is>
          <t>MJÖLBY</t>
        </is>
      </c>
      <c r="I183" t="n">
        <v>0.6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34834-2026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46258</v>
      </c>
      <c r="E184" s="1" t="n">
        <v>46320</v>
      </c>
      <c r="F184" t="inlineStr">
        <is>
          <t>ÖSTERGÖTLANDS LÄN</t>
        </is>
      </c>
      <c r="G184" t="inlineStr">
        <is>
          <t>MJÖLBY</t>
        </is>
      </c>
      <c r="I184" t="n">
        <v>4.5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37353-2026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46275</v>
      </c>
      <c r="E185" s="1" t="n">
        <v>46320</v>
      </c>
      <c r="F185" t="inlineStr">
        <is>
          <t>ÖSTERGÖTLANDS LÄN</t>
        </is>
      </c>
      <c r="G185" t="inlineStr">
        <is>
          <t>MJÖLBY</t>
        </is>
      </c>
      <c r="I185" t="n">
        <v>1.5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55730-2022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44888</v>
      </c>
      <c r="E186" s="1" t="n">
        <v>46320</v>
      </c>
      <c r="F186" t="inlineStr">
        <is>
          <t>ÖSTERGÖTLANDS LÄN</t>
        </is>
      </c>
      <c r="G186" t="inlineStr">
        <is>
          <t>MJÖLBY</t>
        </is>
      </c>
      <c r="I186" t="n">
        <v>1.1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21518-2026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46148</v>
      </c>
      <c r="E187" s="1" t="n">
        <v>46320</v>
      </c>
      <c r="F187" t="inlineStr">
        <is>
          <t>ÖSTERGÖTLANDS LÄN</t>
        </is>
      </c>
      <c r="G187" t="inlineStr">
        <is>
          <t>MJÖLBY</t>
        </is>
      </c>
      <c r="I187" t="n">
        <v>1.3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15491-2024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45401</v>
      </c>
      <c r="E188" s="1" t="n">
        <v>46320</v>
      </c>
      <c r="F188" t="inlineStr">
        <is>
          <t>ÖSTERGÖTLANDS LÄN</t>
        </is>
      </c>
      <c r="G188" t="inlineStr">
        <is>
          <t>MJÖLBY</t>
        </is>
      </c>
      <c r="H188" t="inlineStr">
        <is>
          <t>Sveaskog</t>
        </is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32581-2025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45838</v>
      </c>
      <c r="E189" s="1" t="n">
        <v>46320</v>
      </c>
      <c r="F189" t="inlineStr">
        <is>
          <t>ÖSTERGÖTLANDS LÄN</t>
        </is>
      </c>
      <c r="G189" t="inlineStr">
        <is>
          <t>MJÖLBY</t>
        </is>
      </c>
      <c r="I189" t="n">
        <v>1.3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2073-2026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46036</v>
      </c>
      <c r="E190" s="1" t="n">
        <v>46320</v>
      </c>
      <c r="F190" t="inlineStr">
        <is>
          <t>ÖSTERGÖTLANDS LÄN</t>
        </is>
      </c>
      <c r="G190" t="inlineStr">
        <is>
          <t>MJÖLBY</t>
        </is>
      </c>
      <c r="I190" t="n">
        <v>0.8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64930-2023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45282</v>
      </c>
      <c r="E191" s="1" t="n">
        <v>46320</v>
      </c>
      <c r="F191" t="inlineStr">
        <is>
          <t>ÖSTERGÖTLANDS LÄN</t>
        </is>
      </c>
      <c r="G191" t="inlineStr">
        <is>
          <t>MJÖLBY</t>
        </is>
      </c>
      <c r="I191" t="n">
        <v>1.2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24866-2023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45085</v>
      </c>
      <c r="E192" s="1" t="n">
        <v>46320</v>
      </c>
      <c r="F192" t="inlineStr">
        <is>
          <t>ÖSTERGÖTLANDS LÄN</t>
        </is>
      </c>
      <c r="G192" t="inlineStr">
        <is>
          <t>MJÖLBY</t>
        </is>
      </c>
      <c r="I192" t="n">
        <v>1.7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3087-2023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44946</v>
      </c>
      <c r="E193" s="1" t="n">
        <v>46320</v>
      </c>
      <c r="F193" t="inlineStr">
        <is>
          <t>ÖSTERGÖTLANDS LÄN</t>
        </is>
      </c>
      <c r="G193" t="inlineStr">
        <is>
          <t>MJÖLBY</t>
        </is>
      </c>
      <c r="I193" t="n">
        <v>2.2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35447-2023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45146</v>
      </c>
      <c r="E194" s="1" t="n">
        <v>46320</v>
      </c>
      <c r="F194" t="inlineStr">
        <is>
          <t>ÖSTERGÖTLANDS LÄN</t>
        </is>
      </c>
      <c r="G194" t="inlineStr">
        <is>
          <t>MJÖLBY</t>
        </is>
      </c>
      <c r="I194" t="n">
        <v>0.9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63449-2023</t>
        </is>
      </c>
      <c r="B195" t="inlineStr">
        <is>
          <t>avverkningsanmälan</t>
        </is>
      </c>
      <c r="C195" t="inlineStr">
        <is>
          <t>Avverkning för annat ändamål</t>
        </is>
      </c>
      <c r="D195" s="1" t="n">
        <v>45273</v>
      </c>
      <c r="E195" s="1" t="n">
        <v>46320</v>
      </c>
      <c r="F195" t="inlineStr">
        <is>
          <t>ÖSTERGÖTLANDS LÄN</t>
        </is>
      </c>
      <c r="G195" t="inlineStr">
        <is>
          <t>MJÖLBY</t>
        </is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3678-2025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45681</v>
      </c>
      <c r="E196" s="1" t="n">
        <v>46320</v>
      </c>
      <c r="F196" t="inlineStr">
        <is>
          <t>ÖSTERGÖTLANDS LÄN</t>
        </is>
      </c>
      <c r="G196" t="inlineStr">
        <is>
          <t>MJÖLBY</t>
        </is>
      </c>
      <c r="I196" t="n">
        <v>0.5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36401-2023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45152</v>
      </c>
      <c r="E197" s="1" t="n">
        <v>46320</v>
      </c>
      <c r="F197" t="inlineStr">
        <is>
          <t>ÖSTERGÖTLANDS LÄN</t>
        </is>
      </c>
      <c r="G197" t="inlineStr">
        <is>
          <t>MJÖLBY</t>
        </is>
      </c>
      <c r="H197" t="inlineStr">
        <is>
          <t>Allmännings- och besparingsskogar</t>
        </is>
      </c>
      <c r="I197" t="n">
        <v>6.3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7337-2023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44971</v>
      </c>
      <c r="E198" s="1" t="n">
        <v>46320</v>
      </c>
      <c r="F198" t="inlineStr">
        <is>
          <t>ÖSTERGÖTLANDS LÄN</t>
        </is>
      </c>
      <c r="G198" t="inlineStr">
        <is>
          <t>MJÖLBY</t>
        </is>
      </c>
      <c r="I198" t="n">
        <v>2.7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60977-2023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45261</v>
      </c>
      <c r="E199" s="1" t="n">
        <v>46320</v>
      </c>
      <c r="F199" t="inlineStr">
        <is>
          <t>ÖSTERGÖTLANDS LÄN</t>
        </is>
      </c>
      <c r="G199" t="inlineStr">
        <is>
          <t>MJÖLBY</t>
        </is>
      </c>
      <c r="I199" t="n">
        <v>1.1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60969-2023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45261</v>
      </c>
      <c r="E200" s="1" t="n">
        <v>46320</v>
      </c>
      <c r="F200" t="inlineStr">
        <is>
          <t>ÖSTERGÖTLANDS LÄN</t>
        </is>
      </c>
      <c r="G200" t="inlineStr">
        <is>
          <t>MJÖLBY</t>
        </is>
      </c>
      <c r="I200" t="n">
        <v>1.8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38299-2023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45161</v>
      </c>
      <c r="E201" s="1" t="n">
        <v>46320</v>
      </c>
      <c r="F201" t="inlineStr">
        <is>
          <t>ÖSTERGÖTLANDS LÄN</t>
        </is>
      </c>
      <c r="G201" t="inlineStr">
        <is>
          <t>MJÖLBY</t>
        </is>
      </c>
      <c r="I201" t="n">
        <v>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58800-2022</t>
        </is>
      </c>
      <c r="B202" t="inlineStr">
        <is>
          <t>avverkningsanmälan</t>
        </is>
      </c>
      <c r="C202" t="inlineStr">
        <is>
          <t>Avverkning för annat ändamål</t>
        </is>
      </c>
      <c r="D202" s="1" t="n">
        <v>44903</v>
      </c>
      <c r="E202" s="1" t="n">
        <v>46320</v>
      </c>
      <c r="F202" t="inlineStr">
        <is>
          <t>ÖSTERGÖTLANDS LÄN</t>
        </is>
      </c>
      <c r="G202" t="inlineStr">
        <is>
          <t>MJÖLBY</t>
        </is>
      </c>
      <c r="I202" t="n">
        <v>3.1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6785-2024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45342</v>
      </c>
      <c r="E203" s="1" t="n">
        <v>46320</v>
      </c>
      <c r="F203" t="inlineStr">
        <is>
          <t>ÖSTERGÖTLANDS LÄN</t>
        </is>
      </c>
      <c r="G203" t="inlineStr">
        <is>
          <t>MJÖLBY</t>
        </is>
      </c>
      <c r="H203" t="inlineStr">
        <is>
          <t>Kyrkan</t>
        </is>
      </c>
      <c r="I203" t="n">
        <v>3.5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11944-2024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45376</v>
      </c>
      <c r="E204" s="1" t="n">
        <v>46320</v>
      </c>
      <c r="F204" t="inlineStr">
        <is>
          <t>ÖSTERGÖTLANDS LÄN</t>
        </is>
      </c>
      <c r="G204" t="inlineStr">
        <is>
          <t>MJÖLBY</t>
        </is>
      </c>
      <c r="I204" t="n">
        <v>2.7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59411-2022</t>
        </is>
      </c>
      <c r="B205" t="inlineStr">
        <is>
          <t>avverkningsanmälan</t>
        </is>
      </c>
      <c r="C205" t="inlineStr">
        <is>
          <t>Avverkning för att bevara och utveckla /försöksver</t>
        </is>
      </c>
      <c r="D205" s="1" t="n">
        <v>44907</v>
      </c>
      <c r="E205" s="1" t="n">
        <v>46320</v>
      </c>
      <c r="F205" t="inlineStr">
        <is>
          <t>ÖSTERGÖTLANDS LÄN</t>
        </is>
      </c>
      <c r="G205" t="inlineStr">
        <is>
          <t>MJÖLBY</t>
        </is>
      </c>
      <c r="H205" t="inlineStr">
        <is>
          <t>Övriga Aktiebolag</t>
        </is>
      </c>
      <c r="I205" t="n">
        <v>1.7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58412-2023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45250</v>
      </c>
      <c r="E206" s="1" t="n">
        <v>46320</v>
      </c>
      <c r="F206" t="inlineStr">
        <is>
          <t>ÖSTERGÖTLANDS LÄN</t>
        </is>
      </c>
      <c r="G206" t="inlineStr">
        <is>
          <t>MJÖLBY</t>
        </is>
      </c>
      <c r="I206" t="n">
        <v>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59410-2022</t>
        </is>
      </c>
      <c r="B207" t="inlineStr">
        <is>
          <t>avverkningsanmälan</t>
        </is>
      </c>
      <c r="C207" t="inlineStr">
        <is>
          <t>Avverkning för att bevara och utveckla /försöksver</t>
        </is>
      </c>
      <c r="D207" s="1" t="n">
        <v>44907</v>
      </c>
      <c r="E207" s="1" t="n">
        <v>46320</v>
      </c>
      <c r="F207" t="inlineStr">
        <is>
          <t>ÖSTERGÖTLANDS LÄN</t>
        </is>
      </c>
      <c r="G207" t="inlineStr">
        <is>
          <t>MJÖLBY</t>
        </is>
      </c>
      <c r="H207" t="inlineStr">
        <is>
          <t>Övriga Aktiebolag</t>
        </is>
      </c>
      <c r="I207" t="n">
        <v>1.3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45918-2024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45580</v>
      </c>
      <c r="E208" s="1" t="n">
        <v>46320</v>
      </c>
      <c r="F208" t="inlineStr">
        <is>
          <t>ÖSTERGÖTLANDS LÄN</t>
        </is>
      </c>
      <c r="G208" t="inlineStr">
        <is>
          <t>MJÖLBY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62570-2023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45269</v>
      </c>
      <c r="E209" s="1" t="n">
        <v>46320</v>
      </c>
      <c r="F209" t="inlineStr">
        <is>
          <t>ÖSTERGÖTLANDS LÄN</t>
        </is>
      </c>
      <c r="G209" t="inlineStr">
        <is>
          <t>MJÖLBY</t>
        </is>
      </c>
      <c r="I209" t="n">
        <v>1.5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14210-2023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45009</v>
      </c>
      <c r="E210" s="1" t="n">
        <v>46320</v>
      </c>
      <c r="F210" t="inlineStr">
        <is>
          <t>ÖSTERGÖTLANDS LÄN</t>
        </is>
      </c>
      <c r="G210" t="inlineStr">
        <is>
          <t>MJÖLBY</t>
        </is>
      </c>
      <c r="I210" t="n">
        <v>1.9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35404-2023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45146</v>
      </c>
      <c r="E211" s="1" t="n">
        <v>46320</v>
      </c>
      <c r="F211" t="inlineStr">
        <is>
          <t>ÖSTERGÖTLANDS LÄN</t>
        </is>
      </c>
      <c r="G211" t="inlineStr">
        <is>
          <t>MJÖLBY</t>
        </is>
      </c>
      <c r="I211" t="n">
        <v>0.7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68095-2021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44526</v>
      </c>
      <c r="E212" s="1" t="n">
        <v>46320</v>
      </c>
      <c r="F212" t="inlineStr">
        <is>
          <t>ÖSTERGÖTLANDS LÄN</t>
        </is>
      </c>
      <c r="G212" t="inlineStr">
        <is>
          <t>MJÖLBY</t>
        </is>
      </c>
      <c r="I212" t="n">
        <v>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49915-2024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45597</v>
      </c>
      <c r="E213" s="1" t="n">
        <v>46320</v>
      </c>
      <c r="F213" t="inlineStr">
        <is>
          <t>ÖSTERGÖTLANDS LÄN</t>
        </is>
      </c>
      <c r="G213" t="inlineStr">
        <is>
          <t>MJÖLBY</t>
        </is>
      </c>
      <c r="I213" t="n">
        <v>0.4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37631-2023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45159</v>
      </c>
      <c r="E214" s="1" t="n">
        <v>46320</v>
      </c>
      <c r="F214" t="inlineStr">
        <is>
          <t>ÖSTERGÖTLANDS LÄN</t>
        </is>
      </c>
      <c r="G214" t="inlineStr">
        <is>
          <t>MJÖLBY</t>
        </is>
      </c>
      <c r="I214" t="n">
        <v>1.8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11270-2022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44629</v>
      </c>
      <c r="E215" s="1" t="n">
        <v>46320</v>
      </c>
      <c r="F215" t="inlineStr">
        <is>
          <t>ÖSTERGÖTLANDS LÄN</t>
        </is>
      </c>
      <c r="G215" t="inlineStr">
        <is>
          <t>MJÖLBY</t>
        </is>
      </c>
      <c r="I215" t="n">
        <v>1.4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41337-2023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45174</v>
      </c>
      <c r="E216" s="1" t="n">
        <v>46320</v>
      </c>
      <c r="F216" t="inlineStr">
        <is>
          <t>ÖSTERGÖTLANDS LÄN</t>
        </is>
      </c>
      <c r="G216" t="inlineStr">
        <is>
          <t>MJÖLBY</t>
        </is>
      </c>
      <c r="I216" t="n">
        <v>1.2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2800-2025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45677</v>
      </c>
      <c r="E217" s="1" t="n">
        <v>46320</v>
      </c>
      <c r="F217" t="inlineStr">
        <is>
          <t>ÖSTERGÖTLANDS LÄN</t>
        </is>
      </c>
      <c r="G217" t="inlineStr">
        <is>
          <t>MJÖLBY</t>
        </is>
      </c>
      <c r="I217" t="n">
        <v>2.5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8658-2022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44613</v>
      </c>
      <c r="E218" s="1" t="n">
        <v>46320</v>
      </c>
      <c r="F218" t="inlineStr">
        <is>
          <t>ÖSTERGÖTLANDS LÄN</t>
        </is>
      </c>
      <c r="G218" t="inlineStr">
        <is>
          <t>MJÖLBY</t>
        </is>
      </c>
      <c r="I218" t="n">
        <v>1.5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2418-2025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45674</v>
      </c>
      <c r="E219" s="1" t="n">
        <v>46320</v>
      </c>
      <c r="F219" t="inlineStr">
        <is>
          <t>ÖSTERGÖTLANDS LÄN</t>
        </is>
      </c>
      <c r="G219" t="inlineStr">
        <is>
          <t>MJÖLBY</t>
        </is>
      </c>
      <c r="I219" t="n">
        <v>1.1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2231-2025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45673</v>
      </c>
      <c r="E220" s="1" t="n">
        <v>46320</v>
      </c>
      <c r="F220" t="inlineStr">
        <is>
          <t>ÖSTERGÖTLANDS LÄN</t>
        </is>
      </c>
      <c r="G220" t="inlineStr">
        <is>
          <t>MJÖLBY</t>
        </is>
      </c>
      <c r="I220" t="n">
        <v>0.6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11478-2024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45372</v>
      </c>
      <c r="E221" s="1" t="n">
        <v>46320</v>
      </c>
      <c r="F221" t="inlineStr">
        <is>
          <t>ÖSTERGÖTLANDS LÄN</t>
        </is>
      </c>
      <c r="G221" t="inlineStr">
        <is>
          <t>MJÖLBY</t>
        </is>
      </c>
      <c r="I221" t="n">
        <v>0.5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53520-2022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44879</v>
      </c>
      <c r="E222" s="1" t="n">
        <v>46320</v>
      </c>
      <c r="F222" t="inlineStr">
        <is>
          <t>ÖSTERGÖTLANDS LÄN</t>
        </is>
      </c>
      <c r="G222" t="inlineStr">
        <is>
          <t>MJÖLBY</t>
        </is>
      </c>
      <c r="I222" t="n">
        <v>1.4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52655-2023</t>
        </is>
      </c>
      <c r="B223" t="inlineStr">
        <is>
          <t>avverkningsanmälan</t>
        </is>
      </c>
      <c r="C223" t="inlineStr">
        <is>
          <t>Avverkning för annat ändamål</t>
        </is>
      </c>
      <c r="D223" s="1" t="n">
        <v>45225</v>
      </c>
      <c r="E223" s="1" t="n">
        <v>46320</v>
      </c>
      <c r="F223" t="inlineStr">
        <is>
          <t>ÖSTERGÖTLANDS LÄN</t>
        </is>
      </c>
      <c r="G223" t="inlineStr">
        <is>
          <t>MJÖLBY</t>
        </is>
      </c>
      <c r="I223" t="n">
        <v>1.7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22307-2024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45446</v>
      </c>
      <c r="E224" s="1" t="n">
        <v>46320</v>
      </c>
      <c r="F224" t="inlineStr">
        <is>
          <t>ÖSTERGÖTLANDS LÄN</t>
        </is>
      </c>
      <c r="G224" t="inlineStr">
        <is>
          <t>MJÖLBY</t>
        </is>
      </c>
      <c r="I224" t="n">
        <v>2.3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3877-2023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44951</v>
      </c>
      <c r="E225" s="1" t="n">
        <v>46320</v>
      </c>
      <c r="F225" t="inlineStr">
        <is>
          <t>ÖSTERGÖTLANDS LÄN</t>
        </is>
      </c>
      <c r="G225" t="inlineStr">
        <is>
          <t>MJÖLBY</t>
        </is>
      </c>
      <c r="I225" t="n">
        <v>1.1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61012-2023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45259</v>
      </c>
      <c r="E226" s="1" t="n">
        <v>46320</v>
      </c>
      <c r="F226" t="inlineStr">
        <is>
          <t>ÖSTERGÖTLANDS LÄN</t>
        </is>
      </c>
      <c r="G226" t="inlineStr">
        <is>
          <t>MJÖLBY</t>
        </is>
      </c>
      <c r="I226" t="n">
        <v>1.1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15783-2022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44663</v>
      </c>
      <c r="E227" s="1" t="n">
        <v>46320</v>
      </c>
      <c r="F227" t="inlineStr">
        <is>
          <t>ÖSTERGÖTLANDS LÄN</t>
        </is>
      </c>
      <c r="G227" t="inlineStr">
        <is>
          <t>MJÖLBY</t>
        </is>
      </c>
      <c r="I227" t="n">
        <v>1.4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34521-2024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45525</v>
      </c>
      <c r="E228" s="1" t="n">
        <v>46320</v>
      </c>
      <c r="F228" t="inlineStr">
        <is>
          <t>ÖSTERGÖTLANDS LÄN</t>
        </is>
      </c>
      <c r="G228" t="inlineStr">
        <is>
          <t>MJÖLBY</t>
        </is>
      </c>
      <c r="I228" t="n">
        <v>4.7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1013-2025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45666</v>
      </c>
      <c r="E229" s="1" t="n">
        <v>46320</v>
      </c>
      <c r="F229" t="inlineStr">
        <is>
          <t>ÖSTERGÖTLANDS LÄN</t>
        </is>
      </c>
      <c r="G229" t="inlineStr">
        <is>
          <t>MJÖLBY</t>
        </is>
      </c>
      <c r="I229" t="n">
        <v>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S 1827-2026</t>
        </is>
      </c>
      <c r="B230" t="inlineStr">
        <is>
          <t>samrådsanmälan</t>
        </is>
      </c>
      <c r="C230" t="inlineStr">
        <is>
          <t>Annan skogsbruksåtgärd</t>
        </is>
      </c>
      <c r="D230" s="1" t="n">
        <v>46197</v>
      </c>
      <c r="E230" s="1" t="n">
        <v>46320</v>
      </c>
      <c r="F230" t="inlineStr">
        <is>
          <t>ÖSTERGÖTLANDS LÄN</t>
        </is>
      </c>
      <c r="G230" t="inlineStr">
        <is>
          <t>MJÖLBY</t>
        </is>
      </c>
      <c r="H230" t="inlineStr">
        <is>
          <t>Övriga Aktiebolag</t>
        </is>
      </c>
      <c r="I230" t="n">
        <v>3.8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>
      <c r="A231" t="inlineStr">
        <is>
          <t>S 2675-2026</t>
        </is>
      </c>
      <c r="B231" t="inlineStr">
        <is>
          <t>samrådsanmälan</t>
        </is>
      </c>
      <c r="C231" t="inlineStr">
        <is>
          <t>Annan skogsbruksåtgärd</t>
        </is>
      </c>
      <c r="D231" s="1" t="n">
        <v>46309</v>
      </c>
      <c r="E231" s="1" t="n">
        <v>46320</v>
      </c>
      <c r="F231" t="inlineStr">
        <is>
          <t>ÖSTERGÖTLANDS LÄN</t>
        </is>
      </c>
      <c r="G231" t="inlineStr">
        <is>
          <t>MJÖLBY</t>
        </is>
      </c>
      <c r="H231" t="inlineStr">
        <is>
          <t>Övriga Aktiebolag</t>
        </is>
      </c>
      <c r="I231" t="n">
        <v>0.6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2026-10-25T02:07:52Z</dcterms:created>
  <dcterms:modified xmlns:dcterms="http://purl.org/dc/terms/" xmlns:xsi="http://www.w3.org/2001/XMLSchema-instance" xsi:type="dcterms:W3CDTF">2026-10-25T02:07:52Z</dcterms:modified>
</cp:coreProperties>
</file>