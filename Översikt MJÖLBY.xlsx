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53521-2023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45230</v>
      </c>
      <c r="E7" s="1" t="n">
        <v>46303</v>
      </c>
      <c r="F7" t="inlineStr">
        <is>
          <t>ÖSTERGÖTLANDS LÄN</t>
        </is>
      </c>
      <c r="G7" t="inlineStr">
        <is>
          <t>MJÖLBY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Skogsduva</t>
        </is>
      </c>
      <c r="W7">
        <f>HYPERLINK("https://klasma.github.io/Logging_0586/artfynd/A 53521-2023 artfynd.xlsx", "A 53521-2023")</f>
        <v/>
      </c>
      <c r="X7">
        <f>HYPERLINK("https://klasma.github.io/Logging_0586/kartor/A 53521-2023 karta.png", "A 53521-2023")</f>
        <v/>
      </c>
      <c r="Y7">
        <f>HYPERLINK("https://klasma.github.io/Logging_0586/kartor_geotiff/A 53521-2023 georefererad karta.tif", "A 53521-2023")</f>
        <v/>
      </c>
      <c r="AA7">
        <f>HYPERLINK("https://klasma.github.io/Logging_0586/klagomål/A 53521-2023 FSC-klagomål.docx", "A 53521-2023")</f>
        <v/>
      </c>
      <c r="AB7">
        <f>HYPERLINK("https://klasma.github.io/Logging_0586/klagomålsmail/A 53521-2023 FSC-klagomål mail.docx", "A 53521-2023")</f>
        <v/>
      </c>
      <c r="AC7">
        <f>HYPERLINK("https://klasma.github.io/Logging_0586/tillsyn/A 53521-2023 tillsynsbegäran.docx", "A 53521-2023")</f>
        <v/>
      </c>
      <c r="AD7">
        <f>HYPERLINK("https://klasma.github.io/Logging_0586/tillsynsmail/A 53521-2023 tillsynsbegäran mail.docx", "A 53521-2023")</f>
        <v/>
      </c>
    </row>
    <row r="8" ht="15" customHeight="1">
      <c r="A8" t="inlineStr">
        <is>
          <t>A 2230-2025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45673</v>
      </c>
      <c r="E8" s="1" t="n">
        <v>46303</v>
      </c>
      <c r="F8" t="inlineStr">
        <is>
          <t>ÖSTERGÖTLANDS LÄN</t>
        </is>
      </c>
      <c r="G8" t="inlineStr">
        <is>
          <t>MJÖLBY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Fläcknycklar</t>
        </is>
      </c>
      <c r="W8">
        <f>HYPERLINK("https://klasma.github.io/Logging_0586/artfynd/A 2230-2025 artfynd.xlsx", "A 2230-2025")</f>
        <v/>
      </c>
      <c r="X8">
        <f>HYPERLINK("https://klasma.github.io/Logging_0586/kartor/A 2230-2025 karta.png", "A 2230-2025")</f>
        <v/>
      </c>
      <c r="Y8">
        <f>HYPERLINK("https://klasma.github.io/Logging_0586/kartor_geotiff/A 2230-2025 georefererad karta.tif", "A 2230-2025")</f>
        <v/>
      </c>
      <c r="AA8">
        <f>HYPERLINK("https://klasma.github.io/Logging_0586/klagomål/A 2230-2025 FSC-klagomål.docx", "A 2230-2025")</f>
        <v/>
      </c>
      <c r="AB8">
        <f>HYPERLINK("https://klasma.github.io/Logging_0586/klagomålsmail/A 2230-2025 FSC-klagomål mail.docx", "A 2230-2025")</f>
        <v/>
      </c>
      <c r="AC8">
        <f>HYPERLINK("https://klasma.github.io/Logging_0586/tillsyn/A 2230-2025 tillsynsbegäran.docx", "A 2230-2025")</f>
        <v/>
      </c>
      <c r="AD8">
        <f>HYPERLINK("https://klasma.github.io/Logging_0586/tillsynsmail/A 2230-2025 tillsynsbegäran mail.docx", "A 2230-2025")</f>
        <v/>
      </c>
    </row>
    <row r="9" ht="15" customHeight="1">
      <c r="A9" t="inlineStr">
        <is>
          <t>A 50403-2022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44866</v>
      </c>
      <c r="E9" s="1" t="n">
        <v>46303</v>
      </c>
      <c r="F9" t="inlineStr">
        <is>
          <t>ÖSTERGÖTLANDS LÄN</t>
        </is>
      </c>
      <c r="G9" t="inlineStr">
        <is>
          <t>MJÖLBY</t>
        </is>
      </c>
      <c r="H9" t="inlineStr">
        <is>
          <t>Sveaskog</t>
        </is>
      </c>
      <c r="I9" t="n">
        <v>2.4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Springkorn</t>
        </is>
      </c>
      <c r="W9">
        <f>HYPERLINK("https://klasma.github.io/Logging_0586/artfynd/A 50403-2022 artfynd.xlsx", "A 50403-2022")</f>
        <v/>
      </c>
      <c r="X9">
        <f>HYPERLINK("https://klasma.github.io/Logging_0586/kartor/A 50403-2022 karta.png", "A 50403-2022")</f>
        <v/>
      </c>
      <c r="Y9">
        <f>HYPERLINK("https://klasma.github.io/Logging_0586/kartor_geotiff/A 50403-2022 georefererad karta.tif", "A 50403-2022")</f>
        <v/>
      </c>
      <c r="AA9">
        <f>HYPERLINK("https://klasma.github.io/Logging_0586/klagomål/A 50403-2022 FSC-klagomål.docx", "A 50403-2022")</f>
        <v/>
      </c>
      <c r="AB9">
        <f>HYPERLINK("https://klasma.github.io/Logging_0586/klagomålsmail/A 50403-2022 FSC-klagomål mail.docx", "A 50403-2022")</f>
        <v/>
      </c>
      <c r="AC9">
        <f>HYPERLINK("https://klasma.github.io/Logging_0586/tillsyn/A 50403-2022 tillsynsbegäran.docx", "A 50403-2022")</f>
        <v/>
      </c>
      <c r="AD9">
        <f>HYPERLINK("https://klasma.github.io/Logging_0586/tillsynsmail/A 50403-2022 tillsynsbegäran mail.docx", "A 50403-2022")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46303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46303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46303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46303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46303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46303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46303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13567-2025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46303</v>
      </c>
      <c r="F17" t="inlineStr">
        <is>
          <t>ÖSTERGÖTLANDS LÄN</t>
        </is>
      </c>
      <c r="G17" t="inlineStr">
        <is>
          <t>MJÖLBY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Klubbsprötad bastardsvärmare</t>
        </is>
      </c>
      <c r="W17">
        <f>HYPERLINK("https://klasma.github.io/Logging_0586/artfynd/A 13567-2025 artfynd.xlsx", "A 13567-2025")</f>
        <v/>
      </c>
      <c r="X17">
        <f>HYPERLINK("https://klasma.github.io/Logging_0586/kartor/A 13567-2025 karta.png", "A 13567-2025")</f>
        <v/>
      </c>
      <c r="Y17">
        <f>HYPERLINK("https://klasma.github.io/Logging_0586/kartor_geotiff/A 13567-2025 georefererad karta.tif", "A 13567-2025")</f>
        <v/>
      </c>
      <c r="AA17">
        <f>HYPERLINK("https://klasma.github.io/Logging_0586/klagomål/A 13567-2025 FSC-klagomål.docx", "A 13567-2025")</f>
        <v/>
      </c>
      <c r="AB17">
        <f>HYPERLINK("https://klasma.github.io/Logging_0586/klagomålsmail/A 13567-2025 FSC-klagomål mail.docx", "A 13567-2025")</f>
        <v/>
      </c>
      <c r="AC17">
        <f>HYPERLINK("https://klasma.github.io/Logging_0586/tillsyn/A 13567-2025 tillsynsbegäran.docx", "A 13567-2025")</f>
        <v/>
      </c>
      <c r="AD17">
        <f>HYPERLINK("https://klasma.github.io/Logging_0586/tillsynsmail/A 13567-2025 tillsynsbegäran mail.docx", "A 13567-2025")</f>
        <v/>
      </c>
    </row>
    <row r="18" ht="15" customHeight="1">
      <c r="A18" t="inlineStr">
        <is>
          <t>A 22327-2024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46303</v>
      </c>
      <c r="F18" t="inlineStr">
        <is>
          <t>ÖSTERGÖTLANDS LÄN</t>
        </is>
      </c>
      <c r="G18" t="inlineStr">
        <is>
          <t>MJÖLBY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HYPERLINK("https://klasma.github.io/Logging_0586/artfynd/A 22327-2024 artfynd.xlsx", "A 22327-2024")</f>
        <v/>
      </c>
      <c r="X18">
        <f>HYPERLINK("https://klasma.github.io/Logging_0586/kartor/A 22327-2024 karta.png", "A 22327-2024")</f>
        <v/>
      </c>
      <c r="Y18">
        <f>HYPERLINK("https://klasma.github.io/Logging_0586/kartor_geotiff/A 22327-2024 georefererad karta.tif", "A 22327-2024")</f>
        <v/>
      </c>
      <c r="AA18">
        <f>HYPERLINK("https://klasma.github.io/Logging_0586/klagomål/A 22327-2024 FSC-klagomål.docx", "A 22327-2024")</f>
        <v/>
      </c>
      <c r="AB18">
        <f>HYPERLINK("https://klasma.github.io/Logging_0586/klagomålsmail/A 22327-2024 FSC-klagomål mail.docx", "A 22327-2024")</f>
        <v/>
      </c>
      <c r="AC18">
        <f>HYPERLINK("https://klasma.github.io/Logging_0586/tillsyn/A 22327-2024 tillsynsbegäran.docx", "A 22327-2024")</f>
        <v/>
      </c>
      <c r="AD18">
        <f>HYPERLINK("https://klasma.github.io/Logging_0586/tillsynsmail/A 22327-2024 tillsynsbegäran mail.docx", "A 22327-2024")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46303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60983-2023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45261</v>
      </c>
      <c r="E20" s="1" t="n">
        <v>46303</v>
      </c>
      <c r="F20" t="inlineStr">
        <is>
          <t>ÖSTERGÖTLANDS LÄN</t>
        </is>
      </c>
      <c r="G20" t="inlineStr">
        <is>
          <t>MJÖLBY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HYPERLINK("https://klasma.github.io/Logging_0586/artfynd/A 60983-2023 artfynd.xlsx", "A 60983-2023")</f>
        <v/>
      </c>
      <c r="X20">
        <f>HYPERLINK("https://klasma.github.io/Logging_0586/kartor/A 60983-2023 karta.png", "A 60983-2023")</f>
        <v/>
      </c>
      <c r="Y20">
        <f>HYPERLINK("https://klasma.github.io/Logging_0586/kartor_geotiff/A 60983-2023 georefererad karta.tif", "A 60983-2023")</f>
        <v/>
      </c>
      <c r="AA20">
        <f>HYPERLINK("https://klasma.github.io/Logging_0586/klagomål/A 60983-2023 FSC-klagomål.docx", "A 60983-2023")</f>
        <v/>
      </c>
      <c r="AB20">
        <f>HYPERLINK("https://klasma.github.io/Logging_0586/klagomålsmail/A 60983-2023 FSC-klagomål mail.docx", "A 60983-2023")</f>
        <v/>
      </c>
      <c r="AC20">
        <f>HYPERLINK("https://klasma.github.io/Logging_0586/tillsyn/A 60983-2023 tillsynsbegäran.docx", "A 60983-2023")</f>
        <v/>
      </c>
      <c r="AD20">
        <f>HYPERLINK("https://klasma.github.io/Logging_0586/tillsynsmail/A 60983-2023 tillsynsbegäran mail.docx", "A 60983-2023")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46303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46303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46303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46303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41635-2026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46301</v>
      </c>
      <c r="E25" s="1" t="n">
        <v>46303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HYPERLINK("https://klasma.github.io/Logging_0586/artfynd/A 41635-2026 artfynd.xlsx", "A 41635-2026")</f>
        <v/>
      </c>
      <c r="X25">
        <f>HYPERLINK("https://klasma.github.io/Logging_0586/kartor/A 41635-2026 karta.png", "A 41635-2026")</f>
        <v/>
      </c>
      <c r="Y25">
        <f>HYPERLINK("https://klasma.github.io/Logging_0586/kartor_geotiff/A 41635-2026 georefererad karta.tif", "A 41635-2026")</f>
        <v/>
      </c>
      <c r="AA25">
        <f>HYPERLINK("https://klasma.github.io/Logging_0586/klagomål/A 41635-2026 FSC-klagomål.docx", "A 41635-2026")</f>
        <v/>
      </c>
      <c r="AB25">
        <f>HYPERLINK("https://klasma.github.io/Logging_0586/klagomålsmail/A 41635-2026 FSC-klagomål mail.docx", "A 41635-2026")</f>
        <v/>
      </c>
      <c r="AC25">
        <f>HYPERLINK("https://klasma.github.io/Logging_0586/tillsyn/A 41635-2026 tillsynsbegäran.docx", "A 41635-2026")</f>
        <v/>
      </c>
      <c r="AD25">
        <f>HYPERLINK("https://klasma.github.io/Logging_0586/tillsynsmail/A 41635-2026 tillsynsbegäran mail.docx", "A 41635-2026")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46303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46303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46303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46303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44971</v>
      </c>
      <c r="E30" s="1" t="n">
        <v>46303</v>
      </c>
      <c r="F30" t="inlineStr">
        <is>
          <t>ÖSTERGÖTLANDS LÄN</t>
        </is>
      </c>
      <c r="G30" t="inlineStr">
        <is>
          <t>MJÖLBY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46303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46303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46303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51475-2023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45221</v>
      </c>
      <c r="E34" s="1" t="n">
        <v>46303</v>
      </c>
      <c r="F34" t="inlineStr">
        <is>
          <t>ÖSTERGÖTLANDS LÄN</t>
        </is>
      </c>
      <c r="G34" t="inlineStr">
        <is>
          <t>MJÖLBY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46303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46303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46303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60977-2023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45261</v>
      </c>
      <c r="E38" s="1" t="n">
        <v>46303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45293</v>
      </c>
      <c r="E39" s="1" t="n">
        <v>46303</v>
      </c>
      <c r="F39" t="inlineStr">
        <is>
          <t>ÖSTERGÖTLANDS LÄN</t>
        </is>
      </c>
      <c r="G39" t="inlineStr">
        <is>
          <t>MJÖLBY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45301</v>
      </c>
      <c r="E40" s="1" t="n">
        <v>46303</v>
      </c>
      <c r="F40" t="inlineStr">
        <is>
          <t>ÖSTERGÖTLANDS LÄN</t>
        </is>
      </c>
      <c r="G40" t="inlineStr">
        <is>
          <t>MJÖLBY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46303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46248-2024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45581</v>
      </c>
      <c r="E42" s="1" t="n">
        <v>46303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45261</v>
      </c>
      <c r="E43" s="1" t="n">
        <v>46303</v>
      </c>
      <c r="F43" t="inlineStr">
        <is>
          <t>ÖSTERGÖTLANDS LÄN</t>
        </is>
      </c>
      <c r="G43" t="inlineStr">
        <is>
          <t>MJÖLBY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46303</v>
      </c>
      <c r="F44" t="inlineStr">
        <is>
          <t>ÖSTERGÖTLANDS LÄN</t>
        </is>
      </c>
      <c r="G44" t="inlineStr">
        <is>
          <t>MJÖLBY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45545</v>
      </c>
      <c r="E45" s="1" t="n">
        <v>46303</v>
      </c>
      <c r="F45" t="inlineStr">
        <is>
          <t>ÖSTERGÖTLANDS LÄN</t>
        </is>
      </c>
      <c r="G45" t="inlineStr">
        <is>
          <t>MJÖLBY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12675-2024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46303</v>
      </c>
      <c r="F46" t="inlineStr">
        <is>
          <t>ÖSTERGÖTLANDS LÄN</t>
        </is>
      </c>
      <c r="G46" t="inlineStr">
        <is>
          <t>MJÖLBY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46303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17707-2023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45037</v>
      </c>
      <c r="E48" s="1" t="n">
        <v>46303</v>
      </c>
      <c r="F48" t="inlineStr">
        <is>
          <t>ÖSTERGÖTLANDS LÄN</t>
        </is>
      </c>
      <c r="G48" t="inlineStr">
        <is>
          <t>MJÖLBY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46303</v>
      </c>
      <c r="F49" t="inlineStr">
        <is>
          <t>ÖSTERGÖTLANDS LÄN</t>
        </is>
      </c>
      <c r="G49" t="inlineStr">
        <is>
          <t>MJÖLBY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13560-2025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46303</v>
      </c>
      <c r="F50" t="inlineStr">
        <is>
          <t>ÖSTERGÖTLANDS LÄN</t>
        </is>
      </c>
      <c r="G50" t="inlineStr">
        <is>
          <t>MJÖLBY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60969-2023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45261</v>
      </c>
      <c r="E51" s="1" t="n">
        <v>46303</v>
      </c>
      <c r="F51" t="inlineStr">
        <is>
          <t>ÖSTERGÖTLANDS LÄN</t>
        </is>
      </c>
      <c r="G51" t="inlineStr">
        <is>
          <t>MJÖLBY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45526</v>
      </c>
      <c r="E52" s="1" t="n">
        <v>46303</v>
      </c>
      <c r="F52" t="inlineStr">
        <is>
          <t>ÖSTERGÖTLANDS LÄN</t>
        </is>
      </c>
      <c r="G52" t="inlineStr">
        <is>
          <t>MJÖLBY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46303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46303</v>
      </c>
      <c r="F54" t="inlineStr">
        <is>
          <t>ÖSTERGÖTLANDS LÄN</t>
        </is>
      </c>
      <c r="G54" t="inlineStr">
        <is>
          <t>MJÖLBY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46303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45629</v>
      </c>
      <c r="E56" s="1" t="n">
        <v>46303</v>
      </c>
      <c r="F56" t="inlineStr">
        <is>
          <t>ÖSTERGÖTLANDS LÄN</t>
        </is>
      </c>
      <c r="G56" t="inlineStr">
        <is>
          <t>MJÖLBY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58800-2022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44903</v>
      </c>
      <c r="E57" s="1" t="n">
        <v>46303</v>
      </c>
      <c r="F57" t="inlineStr">
        <is>
          <t>ÖSTERGÖTLANDS LÄN</t>
        </is>
      </c>
      <c r="G57" t="inlineStr">
        <is>
          <t>MJÖLBY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46303</v>
      </c>
      <c r="F58" t="inlineStr">
        <is>
          <t>ÖSTERGÖTLANDS LÄN</t>
        </is>
      </c>
      <c r="G58" t="inlineStr">
        <is>
          <t>MJÖLBY</t>
        </is>
      </c>
      <c r="H58" t="inlineStr">
        <is>
          <t>Kyrkan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46303</v>
      </c>
      <c r="F59" t="inlineStr">
        <is>
          <t>ÖSTERGÖTLANDS LÄN</t>
        </is>
      </c>
      <c r="G59" t="inlineStr">
        <is>
          <t>MJÖLBY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59411-2022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44907</v>
      </c>
      <c r="E60" s="1" t="n">
        <v>46303</v>
      </c>
      <c r="F60" t="inlineStr">
        <is>
          <t>ÖSTERGÖTLANDS LÄN</t>
        </is>
      </c>
      <c r="G60" t="inlineStr">
        <is>
          <t>MJÖLBY</t>
        </is>
      </c>
      <c r="H60" t="inlineStr">
        <is>
          <t>Övriga Aktiebolag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46303</v>
      </c>
      <c r="F61" t="inlineStr">
        <is>
          <t>ÖSTERGÖTLANDS LÄN</t>
        </is>
      </c>
      <c r="G61" t="inlineStr">
        <is>
          <t>MJÖLBY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46303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46303</v>
      </c>
      <c r="F63" t="inlineStr">
        <is>
          <t>ÖSTERGÖTLANDS LÄN</t>
        </is>
      </c>
      <c r="G63" t="inlineStr">
        <is>
          <t>MJÖLBY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46303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46303</v>
      </c>
      <c r="F65" t="inlineStr">
        <is>
          <t>ÖSTERGÖTLANDS LÄN</t>
        </is>
      </c>
      <c r="G65" t="inlineStr">
        <is>
          <t>MJÖLBY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45250</v>
      </c>
      <c r="E66" s="1" t="n">
        <v>46303</v>
      </c>
      <c r="F66" t="inlineStr">
        <is>
          <t>ÖSTERGÖTLANDS LÄN</t>
        </is>
      </c>
      <c r="G66" t="inlineStr">
        <is>
          <t>MJÖLBY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59410-2022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44907</v>
      </c>
      <c r="E67" s="1" t="n">
        <v>46303</v>
      </c>
      <c r="F67" t="inlineStr">
        <is>
          <t>ÖSTERGÖTLANDS LÄN</t>
        </is>
      </c>
      <c r="G67" t="inlineStr">
        <is>
          <t>MJÖLBY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45580</v>
      </c>
      <c r="E68" s="1" t="n">
        <v>46303</v>
      </c>
      <c r="F68" t="inlineStr">
        <is>
          <t>ÖSTERGÖTLANDS LÄN</t>
        </is>
      </c>
      <c r="G68" t="inlineStr">
        <is>
          <t>MJÖLBY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46303</v>
      </c>
      <c r="F69" t="inlineStr">
        <is>
          <t>ÖSTERGÖTLANDS LÄN</t>
        </is>
      </c>
      <c r="G69" t="inlineStr">
        <is>
          <t>MJÖLBY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27232-2025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45812</v>
      </c>
      <c r="E70" s="1" t="n">
        <v>46303</v>
      </c>
      <c r="F70" t="inlineStr">
        <is>
          <t>ÖSTERGÖTLANDS LÄN</t>
        </is>
      </c>
      <c r="G70" t="inlineStr">
        <is>
          <t>MJÖLBY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46303</v>
      </c>
      <c r="F71" t="inlineStr">
        <is>
          <t>ÖSTERGÖTLANDS LÄN</t>
        </is>
      </c>
      <c r="G71" t="inlineStr">
        <is>
          <t>MJÖLBY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46303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46303</v>
      </c>
      <c r="F73" t="inlineStr">
        <is>
          <t>ÖSTERGÖTLANDS LÄN</t>
        </is>
      </c>
      <c r="G73" t="inlineStr">
        <is>
          <t>MJÖLBY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62570-2023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45269</v>
      </c>
      <c r="E74" s="1" t="n">
        <v>46303</v>
      </c>
      <c r="F74" t="inlineStr">
        <is>
          <t>ÖSTERGÖTLANDS LÄN</t>
        </is>
      </c>
      <c r="G74" t="inlineStr">
        <is>
          <t>MJÖLBY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46303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46303</v>
      </c>
      <c r="F76" t="inlineStr">
        <is>
          <t>ÖSTERGÖTLANDS LÄN</t>
        </is>
      </c>
      <c r="G76" t="inlineStr">
        <is>
          <t>MJÖLBY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46303</v>
      </c>
      <c r="F77" t="inlineStr">
        <is>
          <t>ÖSTERGÖTLANDS LÄN</t>
        </is>
      </c>
      <c r="G77" t="inlineStr">
        <is>
          <t>MJÖLBY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44522</v>
      </c>
      <c r="E78" s="1" t="n">
        <v>46303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46303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46303</v>
      </c>
      <c r="F80" t="inlineStr">
        <is>
          <t>ÖSTERGÖTLANDS LÄN</t>
        </is>
      </c>
      <c r="G80" t="inlineStr">
        <is>
          <t>MJÖLBY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46303</v>
      </c>
      <c r="F81" t="inlineStr">
        <is>
          <t>ÖSTERGÖTLANDS LÄN</t>
        </is>
      </c>
      <c r="G81" t="inlineStr">
        <is>
          <t>MJÖLBY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46303</v>
      </c>
      <c r="F82" t="inlineStr">
        <is>
          <t>ÖSTERGÖTLANDS LÄN</t>
        </is>
      </c>
      <c r="G82" t="inlineStr">
        <is>
          <t>MJÖLBY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46303</v>
      </c>
      <c r="F83" t="inlineStr">
        <is>
          <t>ÖSTERGÖTLANDS LÄN</t>
        </is>
      </c>
      <c r="G83" t="inlineStr">
        <is>
          <t>MJÖLBY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46303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46303</v>
      </c>
      <c r="F85" t="inlineStr">
        <is>
          <t>ÖSTERGÖTLANDS LÄN</t>
        </is>
      </c>
      <c r="G85" t="inlineStr">
        <is>
          <t>MJÖLBY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46303</v>
      </c>
      <c r="F86" t="inlineStr">
        <is>
          <t>ÖSTERGÖTLANDS LÄN</t>
        </is>
      </c>
      <c r="G86" t="inlineStr">
        <is>
          <t>MJÖLBY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46303</v>
      </c>
      <c r="F87" t="inlineStr">
        <is>
          <t>ÖSTERGÖTLANDS LÄN</t>
        </is>
      </c>
      <c r="G87" t="inlineStr">
        <is>
          <t>MJÖLBY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46303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46303</v>
      </c>
      <c r="F89" t="inlineStr">
        <is>
          <t>ÖSTERGÖTLANDS LÄN</t>
        </is>
      </c>
      <c r="G89" t="inlineStr">
        <is>
          <t>MJÖLBY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68095-2021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46303</v>
      </c>
      <c r="F90" t="inlineStr">
        <is>
          <t>ÖSTERGÖTLANDS LÄN</t>
        </is>
      </c>
      <c r="G90" t="inlineStr">
        <is>
          <t>MJÖLBY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46303</v>
      </c>
      <c r="F91" t="inlineStr">
        <is>
          <t>ÖSTERGÖTLANDS LÄN</t>
        </is>
      </c>
      <c r="G91" t="inlineStr">
        <is>
          <t>MJÖLBY</t>
        </is>
      </c>
      <c r="H91" t="inlineStr">
        <is>
          <t>Kyrkan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46303</v>
      </c>
      <c r="F92" t="inlineStr">
        <is>
          <t>ÖSTERGÖTLANDS LÄN</t>
        </is>
      </c>
      <c r="G92" t="inlineStr">
        <is>
          <t>MJÖLBY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37806-2022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46303</v>
      </c>
      <c r="F93" t="inlineStr">
        <is>
          <t>ÖSTERGÖTLANDS LÄN</t>
        </is>
      </c>
      <c r="G93" t="inlineStr">
        <is>
          <t>MJÖLBY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45370</v>
      </c>
      <c r="E94" s="1" t="n">
        <v>46303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43012-2024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45567</v>
      </c>
      <c r="E95" s="1" t="n">
        <v>46303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46303</v>
      </c>
      <c r="F96" t="inlineStr">
        <is>
          <t>ÖSTERGÖTLANDS LÄN</t>
        </is>
      </c>
      <c r="G96" t="inlineStr">
        <is>
          <t>MJÖLBY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46303</v>
      </c>
      <c r="F97" t="inlineStr">
        <is>
          <t>ÖSTERGÖTLANDS LÄN</t>
        </is>
      </c>
      <c r="G97" t="inlineStr">
        <is>
          <t>MJÖLBY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44770-2025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45917</v>
      </c>
      <c r="E98" s="1" t="n">
        <v>46303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44769-2025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45917</v>
      </c>
      <c r="E99" s="1" t="n">
        <v>46303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44659</v>
      </c>
      <c r="E100" s="1" t="n">
        <v>46303</v>
      </c>
      <c r="F100" t="inlineStr">
        <is>
          <t>ÖSTERGÖTLANDS LÄN</t>
        </is>
      </c>
      <c r="G100" t="inlineStr">
        <is>
          <t>MJÖLBY</t>
        </is>
      </c>
      <c r="H100" t="inlineStr">
        <is>
          <t>Kyrkan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44810</v>
      </c>
      <c r="E101" s="1" t="n">
        <v>46303</v>
      </c>
      <c r="F101" t="inlineStr">
        <is>
          <t>ÖSTERGÖTLANDS LÄN</t>
        </is>
      </c>
      <c r="G101" t="inlineStr">
        <is>
          <t>MJÖLBY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46303</v>
      </c>
      <c r="F102" t="inlineStr">
        <is>
          <t>ÖSTERGÖTLANDS LÄN</t>
        </is>
      </c>
      <c r="G102" t="inlineStr">
        <is>
          <t>MJÖLBY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46303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46303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46303</v>
      </c>
      <c r="F105" t="inlineStr">
        <is>
          <t>ÖSTERGÖTLANDS LÄN</t>
        </is>
      </c>
      <c r="G105" t="inlineStr">
        <is>
          <t>MJÖLBY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46303</v>
      </c>
      <c r="F106" t="inlineStr">
        <is>
          <t>ÖSTERGÖTLANDS LÄN</t>
        </is>
      </c>
      <c r="G106" t="inlineStr">
        <is>
          <t>MJÖLBY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46303</v>
      </c>
      <c r="F107" t="inlineStr">
        <is>
          <t>ÖSTERGÖTLANDS LÄN</t>
        </is>
      </c>
      <c r="G107" t="inlineStr">
        <is>
          <t>MJÖLBY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46303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44904</v>
      </c>
      <c r="E109" s="1" t="n">
        <v>46303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46303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46303</v>
      </c>
      <c r="F111" t="inlineStr">
        <is>
          <t>ÖSTERGÖTLANDS LÄN</t>
        </is>
      </c>
      <c r="G111" t="inlineStr">
        <is>
          <t>MJÖLBY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44768</v>
      </c>
      <c r="E112" s="1" t="n">
        <v>46303</v>
      </c>
      <c r="F112" t="inlineStr">
        <is>
          <t>ÖSTERGÖTLANDS LÄN</t>
        </is>
      </c>
      <c r="G112" t="inlineStr">
        <is>
          <t>MJÖLBY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46303</v>
      </c>
      <c r="F113" t="inlineStr">
        <is>
          <t>ÖSTERGÖTLANDS LÄN</t>
        </is>
      </c>
      <c r="G113" t="inlineStr">
        <is>
          <t>MJÖLBY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45674</v>
      </c>
      <c r="E114" s="1" t="n">
        <v>46303</v>
      </c>
      <c r="F114" t="inlineStr">
        <is>
          <t>ÖSTERGÖTLANDS LÄN</t>
        </is>
      </c>
      <c r="G114" t="inlineStr">
        <is>
          <t>MJÖLBY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46303</v>
      </c>
      <c r="F115" t="inlineStr">
        <is>
          <t>ÖSTERGÖTLANDS LÄN</t>
        </is>
      </c>
      <c r="G115" t="inlineStr">
        <is>
          <t>MJÖLBY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45673</v>
      </c>
      <c r="E116" s="1" t="n">
        <v>46303</v>
      </c>
      <c r="F116" t="inlineStr">
        <is>
          <t>ÖSTERGÖTLANDS LÄN</t>
        </is>
      </c>
      <c r="G116" t="inlineStr">
        <is>
          <t>MJÖLBY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45979</v>
      </c>
      <c r="E117" s="1" t="n">
        <v>46303</v>
      </c>
      <c r="F117" t="inlineStr">
        <is>
          <t>ÖSTERGÖTLANDS LÄN</t>
        </is>
      </c>
      <c r="G117" t="inlineStr">
        <is>
          <t>MJÖLBY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46303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46303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46303</v>
      </c>
      <c r="F120" t="inlineStr">
        <is>
          <t>ÖSTERGÖTLANDS LÄN</t>
        </is>
      </c>
      <c r="G120" t="inlineStr">
        <is>
          <t>MJÖLBY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46303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46303</v>
      </c>
      <c r="F122" t="inlineStr">
        <is>
          <t>ÖSTERGÖTLANDS LÄN</t>
        </is>
      </c>
      <c r="G122" t="inlineStr">
        <is>
          <t>MJÖLBY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46303</v>
      </c>
      <c r="F123" t="inlineStr">
        <is>
          <t>ÖSTERGÖTLANDS LÄN</t>
        </is>
      </c>
      <c r="G123" t="inlineStr">
        <is>
          <t>MJÖLBY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46303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46303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46303</v>
      </c>
      <c r="F126" t="inlineStr">
        <is>
          <t>ÖSTERGÖTLANDS LÄN</t>
        </is>
      </c>
      <c r="G126" t="inlineStr">
        <is>
          <t>MJÖLBY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45085</v>
      </c>
      <c r="E127" s="1" t="n">
        <v>46303</v>
      </c>
      <c r="F127" t="inlineStr">
        <is>
          <t>ÖSTERGÖTLANDS LÄN</t>
        </is>
      </c>
      <c r="G127" t="inlineStr">
        <is>
          <t>MJÖLBY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46148</v>
      </c>
      <c r="E128" s="1" t="n">
        <v>46303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45988</v>
      </c>
      <c r="E129" s="1" t="n">
        <v>46303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46303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46303</v>
      </c>
      <c r="F131" t="inlineStr">
        <is>
          <t>ÖSTERGÖTLANDS LÄN</t>
        </is>
      </c>
      <c r="G131" t="inlineStr">
        <is>
          <t>MJÖLBY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46303</v>
      </c>
      <c r="F132" t="inlineStr">
        <is>
          <t>ÖSTERGÖTLANDS LÄN</t>
        </is>
      </c>
      <c r="G132" t="inlineStr">
        <is>
          <t>MJÖLBY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58415-2021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46303</v>
      </c>
      <c r="F133" t="inlineStr">
        <is>
          <t>ÖSTERGÖTLANDS LÄN</t>
        </is>
      </c>
      <c r="G133" t="inlineStr">
        <is>
          <t>MJÖLBY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46303</v>
      </c>
      <c r="F134" t="inlineStr">
        <is>
          <t>ÖSTERGÖTLANDS LÄN</t>
        </is>
      </c>
      <c r="G134" t="inlineStr">
        <is>
          <t>MJÖLBY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46303</v>
      </c>
      <c r="F135" t="inlineStr">
        <is>
          <t>ÖSTERGÖTLANDS LÄN</t>
        </is>
      </c>
      <c r="G135" t="inlineStr">
        <is>
          <t>MJÖLBY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46303</v>
      </c>
      <c r="F136" t="inlineStr">
        <is>
          <t>ÖSTERGÖTLANDS LÄN</t>
        </is>
      </c>
      <c r="G136" t="inlineStr">
        <is>
          <t>MJÖLBY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24139-2026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46303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63449-2023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45273</v>
      </c>
      <c r="E138" s="1" t="n">
        <v>46303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46303</v>
      </c>
      <c r="F139" t="inlineStr">
        <is>
          <t>ÖSTERGÖTLANDS LÄN</t>
        </is>
      </c>
      <c r="G139" t="inlineStr">
        <is>
          <t>MJÖLBY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45681</v>
      </c>
      <c r="E140" s="1" t="n">
        <v>46303</v>
      </c>
      <c r="F140" t="inlineStr">
        <is>
          <t>ÖSTERGÖTLANDS LÄN</t>
        </is>
      </c>
      <c r="G140" t="inlineStr">
        <is>
          <t>MJÖLBY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46303</v>
      </c>
      <c r="F141" t="inlineStr">
        <is>
          <t>ÖSTERGÖTLANDS LÄN</t>
        </is>
      </c>
      <c r="G141" t="inlineStr">
        <is>
          <t>MJÖLBY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46303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Allmännings- och besparingsskogar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46303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46170</v>
      </c>
      <c r="E144" s="1" t="n">
        <v>46303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24903-2026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46174</v>
      </c>
      <c r="E145" s="1" t="n">
        <v>46303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46303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46303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46303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46303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46303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45372</v>
      </c>
      <c r="E151" s="1" t="n">
        <v>46303</v>
      </c>
      <c r="F151" t="inlineStr">
        <is>
          <t>ÖSTERGÖTLANDS LÄN</t>
        </is>
      </c>
      <c r="G151" t="inlineStr">
        <is>
          <t>MJÖLBY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46303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46303</v>
      </c>
      <c r="F153" t="inlineStr">
        <is>
          <t>ÖSTERGÖTLANDS LÄN</t>
        </is>
      </c>
      <c r="G153" t="inlineStr">
        <is>
          <t>MJÖLBY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46303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46303</v>
      </c>
      <c r="F155" t="inlineStr">
        <is>
          <t>ÖSTERGÖTLANDS LÄN</t>
        </is>
      </c>
      <c r="G155" t="inlineStr">
        <is>
          <t>MJÖLBY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46303</v>
      </c>
      <c r="F156" t="inlineStr">
        <is>
          <t>ÖSTERGÖTLANDS LÄN</t>
        </is>
      </c>
      <c r="G156" t="inlineStr">
        <is>
          <t>MJÖLBY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52655-2023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45225</v>
      </c>
      <c r="E157" s="1" t="n">
        <v>46303</v>
      </c>
      <c r="F157" t="inlineStr">
        <is>
          <t>ÖSTERGÖTLANDS LÄN</t>
        </is>
      </c>
      <c r="G157" t="inlineStr">
        <is>
          <t>MJÖLBY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46303</v>
      </c>
      <c r="F158" t="inlineStr">
        <is>
          <t>ÖSTERGÖTLANDS LÄN</t>
        </is>
      </c>
      <c r="G158" t="inlineStr">
        <is>
          <t>MJÖLBY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44951</v>
      </c>
      <c r="E159" s="1" t="n">
        <v>46303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27126-2026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46188</v>
      </c>
      <c r="E160" s="1" t="n">
        <v>46303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46303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44663</v>
      </c>
      <c r="E162" s="1" t="n">
        <v>46303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46303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46303</v>
      </c>
      <c r="F164" t="inlineStr">
        <is>
          <t>ÖSTERGÖTLANDS LÄN</t>
        </is>
      </c>
      <c r="G164" t="inlineStr">
        <is>
          <t>MJÖLBY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46303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46303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46079</v>
      </c>
      <c r="E167" s="1" t="n">
        <v>46303</v>
      </c>
      <c r="F167" t="inlineStr">
        <is>
          <t>ÖSTERGÖTLANDS LÄN</t>
        </is>
      </c>
      <c r="G167" t="inlineStr">
        <is>
          <t>MJÖLBY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46303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44580</v>
      </c>
      <c r="E169" s="1" t="n">
        <v>46303</v>
      </c>
      <c r="F169" t="inlineStr">
        <is>
          <t>ÖSTERGÖTLANDS LÄN</t>
        </is>
      </c>
      <c r="G169" t="inlineStr">
        <is>
          <t>MJÖLBY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46303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46303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16110-2026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46303</v>
      </c>
      <c r="F172" t="inlineStr">
        <is>
          <t>ÖSTERGÖTLANDS LÄN</t>
        </is>
      </c>
      <c r="G172" t="inlineStr">
        <is>
          <t>MJÖLBY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45324</v>
      </c>
      <c r="E173" s="1" t="n">
        <v>46303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46303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46303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46303</v>
      </c>
      <c r="F176" t="inlineStr">
        <is>
          <t>ÖSTERGÖTLANDS LÄN</t>
        </is>
      </c>
      <c r="G176" t="inlineStr">
        <is>
          <t>MJÖLBY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46303</v>
      </c>
      <c r="F177" t="inlineStr">
        <is>
          <t>ÖSTERGÖTLANDS LÄN</t>
        </is>
      </c>
      <c r="G177" t="inlineStr">
        <is>
          <t>MJÖLBY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46303</v>
      </c>
      <c r="F178" t="inlineStr">
        <is>
          <t>ÖSTERGÖTLANDS LÄN</t>
        </is>
      </c>
      <c r="G178" t="inlineStr">
        <is>
          <t>MJÖLBY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46127</v>
      </c>
      <c r="E179" s="1" t="n">
        <v>46303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46303</v>
      </c>
      <c r="F180" t="inlineStr">
        <is>
          <t>ÖSTERGÖTLANDS LÄN</t>
        </is>
      </c>
      <c r="G180" t="inlineStr">
        <is>
          <t>MJÖLBY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46303</v>
      </c>
      <c r="F181" t="inlineStr">
        <is>
          <t>ÖSTERGÖTLANDS LÄN</t>
        </is>
      </c>
      <c r="G181" t="inlineStr">
        <is>
          <t>MJÖLBY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46216</v>
      </c>
      <c r="E182" s="1" t="n">
        <v>46303</v>
      </c>
      <c r="F182" t="inlineStr">
        <is>
          <t>ÖSTERGÖTLANDS LÄN</t>
        </is>
      </c>
      <c r="G182" t="inlineStr">
        <is>
          <t>MJÖLBY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46303</v>
      </c>
      <c r="F183" t="inlineStr">
        <is>
          <t>ÖSTERGÖTLANDS LÄN</t>
        </is>
      </c>
      <c r="G183" t="inlineStr">
        <is>
          <t>MJÖLBY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46217</v>
      </c>
      <c r="E184" s="1" t="n">
        <v>46303</v>
      </c>
      <c r="F184" t="inlineStr">
        <is>
          <t>ÖSTERGÖTLANDS LÄN</t>
        </is>
      </c>
      <c r="G184" t="inlineStr">
        <is>
          <t>MJÖLBY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46217</v>
      </c>
      <c r="E185" s="1" t="n">
        <v>46303</v>
      </c>
      <c r="F185" t="inlineStr">
        <is>
          <t>ÖSTERGÖTLANDS LÄN</t>
        </is>
      </c>
      <c r="G185" t="inlineStr">
        <is>
          <t>MJÖLBY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46303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46303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46303</v>
      </c>
      <c r="F188" t="inlineStr">
        <is>
          <t>ÖSTERGÖTLANDS LÄN</t>
        </is>
      </c>
      <c r="G188" t="inlineStr">
        <is>
          <t>MJÖLBY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46303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46303</v>
      </c>
      <c r="F190" t="inlineStr">
        <is>
          <t>ÖSTERGÖTLANDS LÄN</t>
        </is>
      </c>
      <c r="G190" t="inlineStr">
        <is>
          <t>MJÖLBY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46303</v>
      </c>
      <c r="F191" t="inlineStr">
        <is>
          <t>ÖSTERGÖTLANDS LÄN</t>
        </is>
      </c>
      <c r="G191" t="inlineStr">
        <is>
          <t>MJÖLBY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46303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46303</v>
      </c>
      <c r="F193" t="inlineStr">
        <is>
          <t>ÖSTERGÖTLANDS LÄN</t>
        </is>
      </c>
      <c r="G193" t="inlineStr">
        <is>
          <t>MJÖLBY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46303</v>
      </c>
      <c r="F194" t="inlineStr">
        <is>
          <t>ÖSTERGÖTLANDS LÄN</t>
        </is>
      </c>
      <c r="G194" t="inlineStr">
        <is>
          <t>MJÖLBY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46303</v>
      </c>
      <c r="F195" t="inlineStr">
        <is>
          <t>ÖSTERGÖTLANDS LÄN</t>
        </is>
      </c>
      <c r="G195" t="inlineStr">
        <is>
          <t>MJÖLBY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46303</v>
      </c>
      <c r="F196" t="inlineStr">
        <is>
          <t>ÖSTERGÖTLANDS LÄN</t>
        </is>
      </c>
      <c r="G196" t="inlineStr">
        <is>
          <t>MJÖLBY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46267</v>
      </c>
      <c r="E197" s="1" t="n">
        <v>46303</v>
      </c>
      <c r="F197" t="inlineStr">
        <is>
          <t>ÖSTERGÖTLANDS LÄN</t>
        </is>
      </c>
      <c r="G197" t="inlineStr">
        <is>
          <t>MJÖLBY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46303</v>
      </c>
      <c r="F198" t="inlineStr">
        <is>
          <t>ÖSTERGÖTLANDS LÄN</t>
        </is>
      </c>
      <c r="G198" t="inlineStr">
        <is>
          <t>MJÖLBY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46303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46303</v>
      </c>
      <c r="F200" t="inlineStr">
        <is>
          <t>ÖSTERGÖTLANDS LÄN</t>
        </is>
      </c>
      <c r="G200" t="inlineStr">
        <is>
          <t>MJÖLBY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46303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Kyrkan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46303</v>
      </c>
      <c r="F202" t="inlineStr">
        <is>
          <t>ÖSTERGÖTLANDS LÄN</t>
        </is>
      </c>
      <c r="G202" t="inlineStr">
        <is>
          <t>MJÖLBY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46274</v>
      </c>
      <c r="E204" s="1" t="n">
        <v>46303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Kyrkan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46303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46303</v>
      </c>
      <c r="F206" t="inlineStr">
        <is>
          <t>ÖSTERGÖTLANDS LÄN</t>
        </is>
      </c>
      <c r="G206" t="inlineStr">
        <is>
          <t>MJÖLBY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46232</v>
      </c>
      <c r="E207" s="1" t="n">
        <v>46303</v>
      </c>
      <c r="F207" t="inlineStr">
        <is>
          <t>ÖSTERGÖTLANDS LÄN</t>
        </is>
      </c>
      <c r="G207" t="inlineStr">
        <is>
          <t>MJÖLBY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46303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46275</v>
      </c>
      <c r="E209" s="1" t="n">
        <v>46303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46275</v>
      </c>
      <c r="E210" s="1" t="n">
        <v>46303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46303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46232</v>
      </c>
      <c r="E212" s="1" t="n">
        <v>46303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46279</v>
      </c>
      <c r="E213" s="1" t="n">
        <v>46303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46237</v>
      </c>
      <c r="E214" s="1" t="n">
        <v>46303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46303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46239</v>
      </c>
      <c r="E216" s="1" t="n">
        <v>46303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46303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46303</v>
      </c>
      <c r="F218" t="inlineStr">
        <is>
          <t>ÖSTERGÖTLANDS LÄN</t>
        </is>
      </c>
      <c r="G218" t="inlineStr">
        <is>
          <t>MJÖLBY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46303</v>
      </c>
      <c r="F219" t="inlineStr">
        <is>
          <t>ÖSTERGÖTLANDS LÄN</t>
        </is>
      </c>
      <c r="G219" t="inlineStr">
        <is>
          <t>MJÖLBY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46303</v>
      </c>
      <c r="F220" t="inlineStr">
        <is>
          <t>ÖSTERGÖTLANDS LÄN</t>
        </is>
      </c>
      <c r="G220" t="inlineStr">
        <is>
          <t>MJÖLBY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46303</v>
      </c>
      <c r="F221" t="inlineStr">
        <is>
          <t>ÖSTERGÖTLANDS LÄN</t>
        </is>
      </c>
      <c r="G221" t="inlineStr">
        <is>
          <t>MJÖLBY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46275</v>
      </c>
      <c r="E222" s="1" t="n">
        <v>46303</v>
      </c>
      <c r="F222" t="inlineStr">
        <is>
          <t>ÖSTERGÖTLANDS LÄN</t>
        </is>
      </c>
      <c r="G222" t="inlineStr">
        <is>
          <t>MJÖLBY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46303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46303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46303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46303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46303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46300</v>
      </c>
      <c r="E228" s="1" t="n">
        <v>46303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Sveaskog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46300</v>
      </c>
      <c r="E229" s="1" t="n">
        <v>46303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Sveaskog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46258</v>
      </c>
      <c r="E230" s="1" t="n">
        <v>46303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34794-2026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46258</v>
      </c>
      <c r="E231" s="1" t="n">
        <v>46303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46258</v>
      </c>
      <c r="E232" s="1" t="n">
        <v>46303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46302</v>
      </c>
      <c r="E233" s="1" t="n">
        <v>46303</v>
      </c>
      <c r="F233" t="inlineStr">
        <is>
          <t>ÖSTERGÖTLANDS LÄN</t>
        </is>
      </c>
      <c r="G233" t="inlineStr">
        <is>
          <t>MJÖLBY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1827-2026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46197</v>
      </c>
      <c r="E234" s="1" t="n">
        <v>46303</v>
      </c>
      <c r="F234" t="inlineStr">
        <is>
          <t>ÖSTERGÖTLANDS LÄN</t>
        </is>
      </c>
      <c r="G234" t="inlineStr">
        <is>
          <t>MJÖLBY</t>
        </is>
      </c>
      <c r="H234" t="inlineStr">
        <is>
          <t>Övriga Aktiebolag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2026-10-08T02:07:01Z</dcterms:created>
  <dcterms:modified xmlns:dcterms="http://purl.org/dc/terms/" xmlns:xsi="http://www.w3.org/2001/XMLSchema-instance" xsi:type="dcterms:W3CDTF">2026-10-08T02:07:02Z</dcterms:modified>
</cp:coreProperties>
</file>