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46318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46318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46318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45164-2023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46318</v>
      </c>
      <c r="F5" t="inlineStr">
        <is>
          <t>ÖSTERGÖTLANDS LÄN</t>
        </is>
      </c>
      <c r="G5" t="inlineStr">
        <is>
          <t>MJÖLBY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Skogsduva</t>
        </is>
      </c>
      <c r="W5">
        <f>HYPERLINK("https://klasma.github.io/Logging_0586/artfynd/A 45164-2023 artfynd.xlsx", "A 45164-2023")</f>
        <v/>
      </c>
      <c r="X5">
        <f>HYPERLINK("https://klasma.github.io/Logging_0586/kartor/A 45164-2023 karta.png", "A 45164-2023")</f>
        <v/>
      </c>
      <c r="Y5">
        <f>HYPERLINK("https://klasma.github.io/Logging_0586/kartor_geotiff/A 45164-2023 georefererad karta.tif", "A 45164-2023")</f>
        <v/>
      </c>
      <c r="AA5">
        <f>HYPERLINK("https://klasma.github.io/Logging_0586/klagomål/A 45164-2023 FSC-klagomål.docx", "A 45164-2023")</f>
        <v/>
      </c>
      <c r="AB5">
        <f>HYPERLINK("https://klasma.github.io/Logging_0586/klagomålsmail/A 45164-2023 FSC-klagomål mail.docx", "A 45164-2023")</f>
        <v/>
      </c>
      <c r="AC5">
        <f>HYPERLINK("https://klasma.github.io/Logging_0586/tillsyn/A 45164-2023 tillsynsbegäran.docx", "A 45164-2023")</f>
        <v/>
      </c>
      <c r="AD5">
        <f>HYPERLINK("https://klasma.github.io/Logging_0586/tillsynsmail/A 45164-2023 tillsynsbegäran mail.docx", "A 45164-2023")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46318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Klubbsprötad bastardsvärmare</t>
        </is>
      </c>
      <c r="W6">
        <f>HYPERLINK("https://klasma.github.io/Logging_0586/artfynd/A 13567-2025 artfynd.xlsx", "A 13567-2025")</f>
        <v/>
      </c>
      <c r="X6">
        <f>HYPERLINK("https://klasma.github.io/Logging_0586/kartor/A 13567-2025 karta.png", "A 13567-2025")</f>
        <v/>
      </c>
      <c r="Y6">
        <f>HYPERLINK("https://klasma.github.io/Logging_0586/kartor_geotiff/A 13567-2025 georefererad karta.tif", "A 13567-2025")</f>
        <v/>
      </c>
      <c r="AA6">
        <f>HYPERLINK("https://klasma.github.io/Logging_0586/klagomål/A 13567-2025 FSC-klagomål.docx", "A 13567-2025")</f>
        <v/>
      </c>
      <c r="AB6">
        <f>HYPERLINK("https://klasma.github.io/Logging_0586/klagomålsmail/A 13567-2025 FSC-klagomål mail.docx", "A 13567-2025")</f>
        <v/>
      </c>
      <c r="AC6">
        <f>HYPERLINK("https://klasma.github.io/Logging_0586/tillsyn/A 13567-2025 tillsynsbegäran.docx", "A 13567-2025")</f>
        <v/>
      </c>
      <c r="AD6">
        <f>HYPERLINK("https://klasma.github.io/Logging_0586/tillsynsmail/A 13567-2025 tillsynsbegäran mail.docx", "A 13567-2025")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46318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46318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50403-2022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44866</v>
      </c>
      <c r="E9" s="1" t="n">
        <v>46318</v>
      </c>
      <c r="F9" t="inlineStr">
        <is>
          <t>ÖSTERGÖTLANDS LÄN</t>
        </is>
      </c>
      <c r="G9" t="inlineStr">
        <is>
          <t>MJÖLBY</t>
        </is>
      </c>
      <c r="H9" t="inlineStr">
        <is>
          <t>Sveaskog</t>
        </is>
      </c>
      <c r="I9" t="n">
        <v>2.4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Springkorn</t>
        </is>
      </c>
      <c r="W9">
        <f>HYPERLINK("https://klasma.github.io/Logging_0586/artfynd/A 50403-2022 artfynd.xlsx", "A 50403-2022")</f>
        <v/>
      </c>
      <c r="X9">
        <f>HYPERLINK("https://klasma.github.io/Logging_0586/kartor/A 50403-2022 karta.png", "A 50403-2022")</f>
        <v/>
      </c>
      <c r="Y9">
        <f>HYPERLINK("https://klasma.github.io/Logging_0586/kartor_geotiff/A 50403-2022 georefererad karta.tif", "A 50403-2022")</f>
        <v/>
      </c>
      <c r="AA9">
        <f>HYPERLINK("https://klasma.github.io/Logging_0586/klagomål/A 50403-2022 FSC-klagomål.docx", "A 50403-2022")</f>
        <v/>
      </c>
      <c r="AB9">
        <f>HYPERLINK("https://klasma.github.io/Logging_0586/klagomålsmail/A 50403-2022 FSC-klagomål mail.docx", "A 50403-2022")</f>
        <v/>
      </c>
      <c r="AC9">
        <f>HYPERLINK("https://klasma.github.io/Logging_0586/tillsyn/A 50403-2022 tillsynsbegäran.docx", "A 50403-2022")</f>
        <v/>
      </c>
      <c r="AD9">
        <f>HYPERLINK("https://klasma.github.io/Logging_0586/tillsynsmail/A 50403-2022 tillsynsbegäran mail.docx", "A 50403-2022")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46318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46318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46318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53521-2023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46318</v>
      </c>
      <c r="F13" t="inlineStr">
        <is>
          <t>ÖSTERGÖTLANDS LÄN</t>
        </is>
      </c>
      <c r="G13" t="inlineStr">
        <is>
          <t>MJÖLBY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Skogsduva</t>
        </is>
      </c>
      <c r="W13">
        <f>HYPERLINK("https://klasma.github.io/Logging_0586/artfynd/A 53521-2023 artfynd.xlsx", "A 53521-2023")</f>
        <v/>
      </c>
      <c r="X13">
        <f>HYPERLINK("https://klasma.github.io/Logging_0586/kartor/A 53521-2023 karta.png", "A 53521-2023")</f>
        <v/>
      </c>
      <c r="Y13">
        <f>HYPERLINK("https://klasma.github.io/Logging_0586/kartor_geotiff/A 53521-2023 georefererad karta.tif", "A 53521-2023")</f>
        <v/>
      </c>
      <c r="AA13">
        <f>HYPERLINK("https://klasma.github.io/Logging_0586/klagomål/A 53521-2023 FSC-klagomål.docx", "A 53521-2023")</f>
        <v/>
      </c>
      <c r="AB13">
        <f>HYPERLINK("https://klasma.github.io/Logging_0586/klagomålsmail/A 53521-2023 FSC-klagomål mail.docx", "A 53521-2023")</f>
        <v/>
      </c>
      <c r="AC13">
        <f>HYPERLINK("https://klasma.github.io/Logging_0586/tillsyn/A 53521-2023 tillsynsbegäran.docx", "A 53521-2023")</f>
        <v/>
      </c>
      <c r="AD13">
        <f>HYPERLINK("https://klasma.github.io/Logging_0586/tillsynsmail/A 53521-2023 tillsynsbegäran mail.docx", "A 53521-2023")</f>
        <v/>
      </c>
    </row>
    <row r="14" ht="15" customHeight="1">
      <c r="A14" t="inlineStr">
        <is>
          <t>A 2230-2025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46318</v>
      </c>
      <c r="F14" t="inlineStr">
        <is>
          <t>ÖSTERGÖTLANDS LÄN</t>
        </is>
      </c>
      <c r="G14" t="inlineStr">
        <is>
          <t>MJÖLBY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HYPERLINK("https://klasma.github.io/Logging_0586/artfynd/A 2230-2025 artfynd.xlsx", "A 2230-2025")</f>
        <v/>
      </c>
      <c r="X14">
        <f>HYPERLINK("https://klasma.github.io/Logging_0586/kartor/A 2230-2025 karta.png", "A 2230-2025")</f>
        <v/>
      </c>
      <c r="Y14">
        <f>HYPERLINK("https://klasma.github.io/Logging_0586/kartor_geotiff/A 2230-2025 georefererad karta.tif", "A 2230-2025")</f>
        <v/>
      </c>
      <c r="AA14">
        <f>HYPERLINK("https://klasma.github.io/Logging_0586/klagomål/A 2230-2025 FSC-klagomål.docx", "A 2230-2025")</f>
        <v/>
      </c>
      <c r="AB14">
        <f>HYPERLINK("https://klasma.github.io/Logging_0586/klagomålsmail/A 2230-2025 FSC-klagomål mail.docx", "A 2230-2025")</f>
        <v/>
      </c>
      <c r="AC14">
        <f>HYPERLINK("https://klasma.github.io/Logging_0586/tillsyn/A 2230-2025 tillsynsbegäran.docx", "A 2230-2025")</f>
        <v/>
      </c>
      <c r="AD14">
        <f>HYPERLINK("https://klasma.github.io/Logging_0586/tillsynsmail/A 2230-2025 tillsynsbegäran mail.docx", "A 2230-2025")</f>
        <v/>
      </c>
    </row>
    <row r="15" ht="15" customHeight="1">
      <c r="A15" t="inlineStr">
        <is>
          <t>A 43425-2026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46318</v>
      </c>
      <c r="F15" t="inlineStr">
        <is>
          <t>ÖSTERGÖTLANDS LÄN</t>
        </is>
      </c>
      <c r="G15" t="inlineStr">
        <is>
          <t>MJÖLBY</t>
        </is>
      </c>
      <c r="I15" t="n">
        <v>3.6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Brun nållav</t>
        </is>
      </c>
      <c r="W15">
        <f>HYPERLINK("https://klasma.github.io/Logging_0586/artfynd/A 43425-2026 artfynd.xlsx", "A 43425-2026")</f>
        <v/>
      </c>
      <c r="X15">
        <f>HYPERLINK("https://klasma.github.io/Logging_0586/kartor/A 43425-2026 karta.png", "A 43425-2026")</f>
        <v/>
      </c>
      <c r="Y15">
        <f>HYPERLINK("https://klasma.github.io/Logging_0586/kartor_geotiff/A 43425-2026 georefererad karta.tif", "A 43425-2026")</f>
        <v/>
      </c>
      <c r="AA15">
        <f>HYPERLINK("https://klasma.github.io/Logging_0586/klagomål/A 43425-2026 FSC-klagomål.docx", "A 43425-2026")</f>
        <v/>
      </c>
      <c r="AB15">
        <f>HYPERLINK("https://klasma.github.io/Logging_0586/klagomålsmail/A 43425-2026 FSC-klagomål mail.docx", "A 43425-2026")</f>
        <v/>
      </c>
      <c r="AC15">
        <f>HYPERLINK("https://klasma.github.io/Logging_0586/tillsyn/A 43425-2026 tillsynsbegäran.docx", "A 43425-2026")</f>
        <v/>
      </c>
      <c r="AD15">
        <f>HYPERLINK("https://klasma.github.io/Logging_0586/tillsynsmail/A 43425-2026 tillsynsbegäran mail.docx", "A 43425-2026")</f>
        <v/>
      </c>
    </row>
    <row r="16" ht="15" customHeight="1">
      <c r="A16" t="inlineStr">
        <is>
          <t>A 22327-2024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46318</v>
      </c>
      <c r="F16" t="inlineStr">
        <is>
          <t>ÖSTERGÖTLANDS LÄN</t>
        </is>
      </c>
      <c r="G16" t="inlineStr">
        <is>
          <t>MJÖLBY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HYPERLINK("https://klasma.github.io/Logging_0586/artfynd/A 22327-2024 artfynd.xlsx", "A 22327-2024")</f>
        <v/>
      </c>
      <c r="X16">
        <f>HYPERLINK("https://klasma.github.io/Logging_0586/kartor/A 22327-2024 karta.png", "A 22327-2024")</f>
        <v/>
      </c>
      <c r="Y16">
        <f>HYPERLINK("https://klasma.github.io/Logging_0586/kartor_geotiff/A 22327-2024 georefererad karta.tif", "A 22327-2024")</f>
        <v/>
      </c>
      <c r="AA16">
        <f>HYPERLINK("https://klasma.github.io/Logging_0586/klagomål/A 22327-2024 FSC-klagomål.docx", "A 22327-2024")</f>
        <v/>
      </c>
      <c r="AB16">
        <f>HYPERLINK("https://klasma.github.io/Logging_0586/klagomålsmail/A 22327-2024 FSC-klagomål mail.docx", "A 22327-2024")</f>
        <v/>
      </c>
      <c r="AC16">
        <f>HYPERLINK("https://klasma.github.io/Logging_0586/tillsyn/A 22327-2024 tillsynsbegäran.docx", "A 22327-2024")</f>
        <v/>
      </c>
      <c r="AD16">
        <f>HYPERLINK("https://klasma.github.io/Logging_0586/tillsynsmail/A 22327-2024 tillsynsbegäran mail.docx", "A 22327-2024")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46318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46318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46318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34869-2026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46255</v>
      </c>
      <c r="E20" s="1" t="n">
        <v>46318</v>
      </c>
      <c r="F20" t="inlineStr">
        <is>
          <t>ÖSTERGÖTLANDS LÄN</t>
        </is>
      </c>
      <c r="G20" t="inlineStr">
        <is>
          <t>MJÖLBY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Backsippa</t>
        </is>
      </c>
      <c r="W20">
        <f>HYPERLINK("https://klasma.github.io/Logging_0586/artfynd/A 34869-2026 artfynd.xlsx", "A 34869-2026")</f>
        <v/>
      </c>
      <c r="X20">
        <f>HYPERLINK("https://klasma.github.io/Logging_0586/kartor/A 34869-2026 karta.png", "A 34869-2026")</f>
        <v/>
      </c>
      <c r="Y20">
        <f>HYPERLINK("https://klasma.github.io/Logging_0586/kartor_geotiff/A 34869-2026 georefererad karta.tif", "A 34869-2026")</f>
        <v/>
      </c>
      <c r="AA20">
        <f>HYPERLINK("https://klasma.github.io/Logging_0586/klagomål/A 34869-2026 FSC-klagomål.docx", "A 34869-2026")</f>
        <v/>
      </c>
      <c r="AB20">
        <f>HYPERLINK("https://klasma.github.io/Logging_0586/klagomålsmail/A 34869-2026 FSC-klagomål mail.docx", "A 34869-2026")</f>
        <v/>
      </c>
      <c r="AC20">
        <f>HYPERLINK("https://klasma.github.io/Logging_0586/tillsyn/A 34869-2026 tillsynsbegäran.docx", "A 34869-2026")</f>
        <v/>
      </c>
      <c r="AD20">
        <f>HYPERLINK("https://klasma.github.io/Logging_0586/tillsynsmail/A 34869-2026 tillsynsbegäran mail.docx", "A 34869-2026")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46318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41635-2026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46301</v>
      </c>
      <c r="E22" s="1" t="n">
        <v>46318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HYPERLINK("https://klasma.github.io/Logging_0586/artfynd/A 41635-2026 artfynd.xlsx", "A 41635-2026")</f>
        <v/>
      </c>
      <c r="X22">
        <f>HYPERLINK("https://klasma.github.io/Logging_0586/kartor/A 41635-2026 karta.png", "A 41635-2026")</f>
        <v/>
      </c>
      <c r="Y22">
        <f>HYPERLINK("https://klasma.github.io/Logging_0586/kartor_geotiff/A 41635-2026 georefererad karta.tif", "A 41635-2026")</f>
        <v/>
      </c>
      <c r="AA22">
        <f>HYPERLINK("https://klasma.github.io/Logging_0586/klagomål/A 41635-2026 FSC-klagomål.docx", "A 41635-2026")</f>
        <v/>
      </c>
      <c r="AB22">
        <f>HYPERLINK("https://klasma.github.io/Logging_0586/klagomålsmail/A 41635-2026 FSC-klagomål mail.docx", "A 41635-2026")</f>
        <v/>
      </c>
      <c r="AC22">
        <f>HYPERLINK("https://klasma.github.io/Logging_0586/tillsyn/A 41635-2026 tillsynsbegäran.docx", "A 41635-2026")</f>
        <v/>
      </c>
      <c r="AD22">
        <f>HYPERLINK("https://klasma.github.io/Logging_0586/tillsynsmail/A 41635-2026 tillsynsbegäran mail.docx", "A 41635-2026")</f>
        <v/>
      </c>
    </row>
    <row r="23" ht="15" customHeight="1">
      <c r="A23" t="inlineStr">
        <is>
          <t>A 9030-2022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44615</v>
      </c>
      <c r="E23" s="1" t="n">
        <v>46318</v>
      </c>
      <c r="F23" t="inlineStr">
        <is>
          <t>ÖSTERGÖTLANDS LÄN</t>
        </is>
      </c>
      <c r="G23" t="inlineStr">
        <is>
          <t>MJÖLBY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Skogsalm</t>
        </is>
      </c>
      <c r="W23">
        <f>HYPERLINK("https://klasma.github.io/Logging_0586/artfynd/A 9030-2022 artfynd.xlsx", "A 9030-2022")</f>
        <v/>
      </c>
      <c r="X23">
        <f>HYPERLINK("https://klasma.github.io/Logging_0586/kartor/A 9030-2022 karta.png", "A 9030-2022")</f>
        <v/>
      </c>
      <c r="Y23">
        <f>HYPERLINK("https://klasma.github.io/Logging_0586/kartor_geotiff/A 9030-2022 georefererad karta.tif", "A 9030-2022")</f>
        <v/>
      </c>
      <c r="AA23">
        <f>HYPERLINK("https://klasma.github.io/Logging_0586/klagomål/A 9030-2022 FSC-klagomål.docx", "A 9030-2022")</f>
        <v/>
      </c>
      <c r="AB23">
        <f>HYPERLINK("https://klasma.github.io/Logging_0586/klagomålsmail/A 9030-2022 FSC-klagomål mail.docx", "A 9030-2022")</f>
        <v/>
      </c>
      <c r="AC23">
        <f>HYPERLINK("https://klasma.github.io/Logging_0586/tillsyn/A 9030-2022 tillsynsbegäran.docx", "A 9030-2022")</f>
        <v/>
      </c>
      <c r="AD23">
        <f>HYPERLINK("https://klasma.github.io/Logging_0586/tillsynsmail/A 9030-2022 tillsynsbegäran mail.docx", "A 9030-2022")</f>
        <v/>
      </c>
    </row>
    <row r="24" ht="15" customHeight="1">
      <c r="A24" t="inlineStr">
        <is>
          <t>A 33532-2024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45519</v>
      </c>
      <c r="E24" s="1" t="n">
        <v>46318</v>
      </c>
      <c r="F24" t="inlineStr">
        <is>
          <t>ÖSTERGÖTLANDS LÄN</t>
        </is>
      </c>
      <c r="G24" t="inlineStr">
        <is>
          <t>MJÖLBY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Backsippa</t>
        </is>
      </c>
      <c r="W24">
        <f>HYPERLINK("https://klasma.github.io/Logging_0586/artfynd/A 33532-2024 artfynd.xlsx", "A 33532-2024")</f>
        <v/>
      </c>
      <c r="X24">
        <f>HYPERLINK("https://klasma.github.io/Logging_0586/kartor/A 33532-2024 karta.png", "A 33532-2024")</f>
        <v/>
      </c>
      <c r="Y24">
        <f>HYPERLINK("https://klasma.github.io/Logging_0586/kartor_geotiff/A 33532-2024 georefererad karta.tif", "A 33532-2024")</f>
        <v/>
      </c>
      <c r="AA24">
        <f>HYPERLINK("https://klasma.github.io/Logging_0586/klagomål/A 33532-2024 FSC-klagomål.docx", "A 33532-2024")</f>
        <v/>
      </c>
      <c r="AB24">
        <f>HYPERLINK("https://klasma.github.io/Logging_0586/klagomålsmail/A 33532-2024 FSC-klagomål mail.docx", "A 33532-2024")</f>
        <v/>
      </c>
      <c r="AC24">
        <f>HYPERLINK("https://klasma.github.io/Logging_0586/tillsyn/A 33532-2024 tillsynsbegäran.docx", "A 33532-2024")</f>
        <v/>
      </c>
      <c r="AD24">
        <f>HYPERLINK("https://klasma.github.io/Logging_0586/tillsynsmail/A 33532-2024 tillsynsbegäran mail.docx", "A 33532-2024")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46318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46318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46318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46318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45152</v>
      </c>
      <c r="E29" s="1" t="n">
        <v>46318</v>
      </c>
      <c r="F29" t="inlineStr">
        <is>
          <t>ÖSTERGÖTLANDS LÄN</t>
        </is>
      </c>
      <c r="G29" t="inlineStr">
        <is>
          <t>MJÖLBY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50886-2024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46318</v>
      </c>
      <c r="F30" t="inlineStr">
        <is>
          <t>ÖSTERGÖTLANDS LÄN</t>
        </is>
      </c>
      <c r="G30" t="inlineStr">
        <is>
          <t>MJÖLBY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14210-2023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45009</v>
      </c>
      <c r="E31" s="1" t="n">
        <v>46318</v>
      </c>
      <c r="F31" t="inlineStr">
        <is>
          <t>ÖSTERGÖTLANDS LÄN</t>
        </is>
      </c>
      <c r="G31" t="inlineStr">
        <is>
          <t>MJÖLBY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19352-2022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44692</v>
      </c>
      <c r="E32" s="1" t="n">
        <v>46318</v>
      </c>
      <c r="F32" t="inlineStr">
        <is>
          <t>ÖSTERGÖTLANDS LÄN</t>
        </is>
      </c>
      <c r="G32" t="inlineStr">
        <is>
          <t>MJÖLBY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10950-2022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44627</v>
      </c>
      <c r="E33" s="1" t="n">
        <v>46318</v>
      </c>
      <c r="F33" t="inlineStr">
        <is>
          <t>ÖSTERGÖTLANDS LÄN</t>
        </is>
      </c>
      <c r="G33" t="inlineStr">
        <is>
          <t>MJÖLBY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46318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46318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46318</v>
      </c>
      <c r="F36" t="inlineStr">
        <is>
          <t>ÖSTERGÖTLANDS LÄN</t>
        </is>
      </c>
      <c r="G36" t="inlineStr">
        <is>
          <t>MJÖLBY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27232-2025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45812</v>
      </c>
      <c r="E37" s="1" t="n">
        <v>46318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42042-2023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45177</v>
      </c>
      <c r="E38" s="1" t="n">
        <v>46318</v>
      </c>
      <c r="F38" t="inlineStr">
        <is>
          <t>ÖSTERGÖTLANDS LÄN</t>
        </is>
      </c>
      <c r="G38" t="inlineStr">
        <is>
          <t>MJÖLBY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28663-2025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46318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46318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45159</v>
      </c>
      <c r="E41" s="1" t="n">
        <v>46318</v>
      </c>
      <c r="F41" t="inlineStr">
        <is>
          <t>ÖSTERGÖTLANDS LÄN</t>
        </is>
      </c>
      <c r="G41" t="inlineStr">
        <is>
          <t>MJÖLBY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46318</v>
      </c>
      <c r="F42" t="inlineStr">
        <is>
          <t>ÖSTERGÖTLANDS LÄN</t>
        </is>
      </c>
      <c r="G42" t="inlineStr">
        <is>
          <t>MJÖLBY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16304-2024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45407</v>
      </c>
      <c r="E43" s="1" t="n">
        <v>46318</v>
      </c>
      <c r="F43" t="inlineStr">
        <is>
          <t>ÖSTERGÖTLANDS LÄN</t>
        </is>
      </c>
      <c r="G43" t="inlineStr">
        <is>
          <t>MJÖLBY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23781-2025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45793</v>
      </c>
      <c r="E44" s="1" t="n">
        <v>46318</v>
      </c>
      <c r="F44" t="inlineStr">
        <is>
          <t>ÖSTERGÖTLANDS LÄN</t>
        </is>
      </c>
      <c r="G44" t="inlineStr">
        <is>
          <t>MJÖLBY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59410-2022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44907</v>
      </c>
      <c r="E45" s="1" t="n">
        <v>46318</v>
      </c>
      <c r="F45" t="inlineStr">
        <is>
          <t>ÖSTERGÖTLANDS LÄN</t>
        </is>
      </c>
      <c r="G45" t="inlineStr">
        <is>
          <t>MJÖLBY</t>
        </is>
      </c>
      <c r="H45" t="inlineStr">
        <is>
          <t>Övriga Aktiebolag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59411-2022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44907</v>
      </c>
      <c r="E46" s="1" t="n">
        <v>46318</v>
      </c>
      <c r="F46" t="inlineStr">
        <is>
          <t>ÖSTERGÖTLANDS LÄN</t>
        </is>
      </c>
      <c r="G46" t="inlineStr">
        <is>
          <t>MJÖLBY</t>
        </is>
      </c>
      <c r="H46" t="inlineStr">
        <is>
          <t>Övriga Aktiebolag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45834</v>
      </c>
      <c r="E47" s="1" t="n">
        <v>46318</v>
      </c>
      <c r="F47" t="inlineStr">
        <is>
          <t>ÖSTERGÖTLANDS LÄN</t>
        </is>
      </c>
      <c r="G47" t="inlineStr">
        <is>
          <t>MJÖLBY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46318</v>
      </c>
      <c r="F48" t="inlineStr">
        <is>
          <t>ÖSTERGÖTLANDS LÄN</t>
        </is>
      </c>
      <c r="G48" t="inlineStr">
        <is>
          <t>MJÖLBY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45677</v>
      </c>
      <c r="E49" s="1" t="n">
        <v>46318</v>
      </c>
      <c r="F49" t="inlineStr">
        <is>
          <t>ÖSTERGÖTLANDS LÄN</t>
        </is>
      </c>
      <c r="G49" t="inlineStr">
        <is>
          <t>MJÖLBY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46318</v>
      </c>
      <c r="F50" t="inlineStr">
        <is>
          <t>ÖSTERGÖTLANDS LÄN</t>
        </is>
      </c>
      <c r="G50" t="inlineStr">
        <is>
          <t>MJÖLBY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43012-2024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45567</v>
      </c>
      <c r="E51" s="1" t="n">
        <v>46318</v>
      </c>
      <c r="F51" t="inlineStr">
        <is>
          <t>ÖSTERGÖTLANDS LÄN</t>
        </is>
      </c>
      <c r="G51" t="inlineStr">
        <is>
          <t>MJÖLBY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46318</v>
      </c>
      <c r="F52" t="inlineStr">
        <is>
          <t>ÖSTERGÖTLANDS LÄN</t>
        </is>
      </c>
      <c r="G52" t="inlineStr">
        <is>
          <t>MJÖLBY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46318</v>
      </c>
      <c r="F53" t="inlineStr">
        <is>
          <t>ÖSTERGÖTLANDS LÄN</t>
        </is>
      </c>
      <c r="G53" t="inlineStr">
        <is>
          <t>MJÖLBY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46318</v>
      </c>
      <c r="F54" t="inlineStr">
        <is>
          <t>ÖSTERGÖTLANDS LÄN</t>
        </is>
      </c>
      <c r="G54" t="inlineStr">
        <is>
          <t>MJÖLBY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45216</v>
      </c>
      <c r="E55" s="1" t="n">
        <v>46318</v>
      </c>
      <c r="F55" t="inlineStr">
        <is>
          <t>ÖSTERGÖTLANDS LÄN</t>
        </is>
      </c>
      <c r="G55" t="inlineStr">
        <is>
          <t>MJÖLBY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50570-2023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46318</v>
      </c>
      <c r="F56" t="inlineStr">
        <is>
          <t>ÖSTERGÖTLANDS LÄN</t>
        </is>
      </c>
      <c r="G56" t="inlineStr">
        <is>
          <t>MJÖLBY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46318</v>
      </c>
      <c r="F57" t="inlineStr">
        <is>
          <t>ÖSTERGÖTLANDS LÄN</t>
        </is>
      </c>
      <c r="G57" t="inlineStr">
        <is>
          <t>MJÖLBY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46318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46318</v>
      </c>
      <c r="F59" t="inlineStr">
        <is>
          <t>ÖSTERGÖTLANDS LÄN</t>
        </is>
      </c>
      <c r="G59" t="inlineStr">
        <is>
          <t>MJÖLBY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46318</v>
      </c>
      <c r="F60" t="inlineStr">
        <is>
          <t>ÖSTERGÖTLANDS LÄN</t>
        </is>
      </c>
      <c r="G60" t="inlineStr">
        <is>
          <t>MJÖLBY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46318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46318</v>
      </c>
      <c r="F62" t="inlineStr">
        <is>
          <t>ÖSTERGÖTLANDS LÄN</t>
        </is>
      </c>
      <c r="G62" t="inlineStr">
        <is>
          <t>MJÖLBY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46318</v>
      </c>
      <c r="F63" t="inlineStr">
        <is>
          <t>ÖSTERGÖTLANDS LÄN</t>
        </is>
      </c>
      <c r="G63" t="inlineStr">
        <is>
          <t>MJÖLBY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46164-2025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46318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46318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46318</v>
      </c>
      <c r="F66" t="inlineStr">
        <is>
          <t>ÖSTERGÖTLANDS LÄN</t>
        </is>
      </c>
      <c r="G66" t="inlineStr">
        <is>
          <t>MJÖLBY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52655-2023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45225</v>
      </c>
      <c r="E67" s="1" t="n">
        <v>46318</v>
      </c>
      <c r="F67" t="inlineStr">
        <is>
          <t>ÖSTERGÖTLANDS LÄN</t>
        </is>
      </c>
      <c r="G67" t="inlineStr">
        <is>
          <t>MJÖLBY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46318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46318</v>
      </c>
      <c r="F69" t="inlineStr">
        <is>
          <t>ÖSTERGÖTLANDS LÄN</t>
        </is>
      </c>
      <c r="G69" t="inlineStr">
        <is>
          <t>MJÖLBY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45085</v>
      </c>
      <c r="E70" s="1" t="n">
        <v>46318</v>
      </c>
      <c r="F70" t="inlineStr">
        <is>
          <t>ÖSTERGÖTLANDS LÄN</t>
        </is>
      </c>
      <c r="G70" t="inlineStr">
        <is>
          <t>MJÖLBY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46318</v>
      </c>
      <c r="F71" t="inlineStr">
        <is>
          <t>ÖSTERGÖTLANDS LÄN</t>
        </is>
      </c>
      <c r="G71" t="inlineStr">
        <is>
          <t>MJÖLBY</t>
        </is>
      </c>
      <c r="H71" t="inlineStr">
        <is>
          <t>Kyrkan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46318</v>
      </c>
      <c r="F72" t="inlineStr">
        <is>
          <t>ÖSTERGÖTLANDS LÄN</t>
        </is>
      </c>
      <c r="G72" t="inlineStr">
        <is>
          <t>MJÖLBY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68095-2021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46318</v>
      </c>
      <c r="F73" t="inlineStr">
        <is>
          <t>ÖSTERGÖTLANDS LÄN</t>
        </is>
      </c>
      <c r="G73" t="inlineStr">
        <is>
          <t>MJÖLBY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46318</v>
      </c>
      <c r="F74" t="inlineStr">
        <is>
          <t>ÖSTERGÖTLANDS LÄN</t>
        </is>
      </c>
      <c r="G74" t="inlineStr">
        <is>
          <t>MJÖLBY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58800-2022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44903</v>
      </c>
      <c r="E75" s="1" t="n">
        <v>46318</v>
      </c>
      <c r="F75" t="inlineStr">
        <is>
          <t>ÖSTERGÖTLANDS LÄN</t>
        </is>
      </c>
      <c r="G75" t="inlineStr">
        <is>
          <t>MJÖLBY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44957</v>
      </c>
      <c r="E76" s="1" t="n">
        <v>46318</v>
      </c>
      <c r="F76" t="inlineStr">
        <is>
          <t>ÖSTERGÖTLANDS LÄN</t>
        </is>
      </c>
      <c r="G76" t="inlineStr">
        <is>
          <t>MJÖLBY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46318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45372</v>
      </c>
      <c r="E78" s="1" t="n">
        <v>46318</v>
      </c>
      <c r="F78" t="inlineStr">
        <is>
          <t>ÖSTERGÖTLANDS LÄN</t>
        </is>
      </c>
      <c r="G78" t="inlineStr">
        <is>
          <t>MJÖLBY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46318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46318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45892</v>
      </c>
      <c r="E81" s="1" t="n">
        <v>46318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46318</v>
      </c>
      <c r="F82" t="inlineStr">
        <is>
          <t>ÖSTERGÖTLANDS LÄN</t>
        </is>
      </c>
      <c r="G82" t="inlineStr">
        <is>
          <t>MJÖLBY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46318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46318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45401</v>
      </c>
      <c r="E85" s="1" t="n">
        <v>46318</v>
      </c>
      <c r="F85" t="inlineStr">
        <is>
          <t>ÖSTERGÖTLANDS LÄN</t>
        </is>
      </c>
      <c r="G85" t="inlineStr">
        <is>
          <t>MJÖLBY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45918-2024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46318</v>
      </c>
      <c r="F86" t="inlineStr">
        <is>
          <t>ÖSTERGÖTLANDS LÄN</t>
        </is>
      </c>
      <c r="G86" t="inlineStr">
        <is>
          <t>MJÖLBY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46139</v>
      </c>
      <c r="E87" s="1" t="n">
        <v>46318</v>
      </c>
      <c r="F87" t="inlineStr">
        <is>
          <t>ÖSTERGÖTLANDS LÄN</t>
        </is>
      </c>
      <c r="G87" t="inlineStr">
        <is>
          <t>MJÖLBY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46318</v>
      </c>
      <c r="F88" t="inlineStr">
        <is>
          <t>ÖSTERGÖTLANDS LÄN</t>
        </is>
      </c>
      <c r="G88" t="inlineStr">
        <is>
          <t>MJÖLBY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44769-2025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46318</v>
      </c>
      <c r="F89" t="inlineStr">
        <is>
          <t>ÖSTERGÖTLANDS LÄN</t>
        </is>
      </c>
      <c r="G89" t="inlineStr">
        <is>
          <t>MJÖLBY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46318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44770-2025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45917</v>
      </c>
      <c r="E91" s="1" t="n">
        <v>46318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64930-2023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45282</v>
      </c>
      <c r="E92" s="1" t="n">
        <v>46318</v>
      </c>
      <c r="F92" t="inlineStr">
        <is>
          <t>ÖSTERGÖTLANDS LÄN</t>
        </is>
      </c>
      <c r="G92" t="inlineStr">
        <is>
          <t>MJÖLBY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46318</v>
      </c>
      <c r="F93" t="inlineStr">
        <is>
          <t>ÖSTERGÖTLANDS LÄN</t>
        </is>
      </c>
      <c r="G93" t="inlineStr">
        <is>
          <t>MJÖLBY</t>
        </is>
      </c>
      <c r="H93" t="inlineStr">
        <is>
          <t>Kommuner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45342</v>
      </c>
      <c r="E94" s="1" t="n">
        <v>46318</v>
      </c>
      <c r="F94" t="inlineStr">
        <is>
          <t>ÖSTERGÖTLANDS LÄN</t>
        </is>
      </c>
      <c r="G94" t="inlineStr">
        <is>
          <t>MJÖLBY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45973</v>
      </c>
      <c r="E95" s="1" t="n">
        <v>46318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46318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46318</v>
      </c>
      <c r="F97" t="inlineStr">
        <is>
          <t>ÖSTERGÖTLANDS LÄN</t>
        </is>
      </c>
      <c r="G97" t="inlineStr">
        <is>
          <t>MJÖLBY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46318</v>
      </c>
      <c r="F98" t="inlineStr">
        <is>
          <t>ÖSTERGÖTLANDS LÄN</t>
        </is>
      </c>
      <c r="G98" t="inlineStr">
        <is>
          <t>MJÖLBY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46318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46318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46318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46148</v>
      </c>
      <c r="E102" s="1" t="n">
        <v>46318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46318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46318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46318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46318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46318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46318</v>
      </c>
      <c r="F108" t="inlineStr">
        <is>
          <t>ÖSTERGÖTLANDS LÄN</t>
        </is>
      </c>
      <c r="G108" t="inlineStr">
        <is>
          <t>MJÖLBY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45259</v>
      </c>
      <c r="E109" s="1" t="n">
        <v>46318</v>
      </c>
      <c r="F109" t="inlineStr">
        <is>
          <t>ÖSTERGÖTLANDS LÄN</t>
        </is>
      </c>
      <c r="G109" t="inlineStr">
        <is>
          <t>MJÖLBY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45020</v>
      </c>
      <c r="E110" s="1" t="n">
        <v>46318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72558-2021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46318</v>
      </c>
      <c r="F111" t="inlineStr">
        <is>
          <t>ÖSTERGÖTLANDS LÄN</t>
        </is>
      </c>
      <c r="G111" t="inlineStr">
        <is>
          <t>MJÖLBY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46318</v>
      </c>
      <c r="F112" t="inlineStr">
        <is>
          <t>ÖSTERGÖTLANDS LÄN</t>
        </is>
      </c>
      <c r="G112" t="inlineStr">
        <is>
          <t>MJÖLBY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46318</v>
      </c>
      <c r="F113" t="inlineStr">
        <is>
          <t>ÖSTERGÖTLANDS LÄN</t>
        </is>
      </c>
      <c r="G113" t="inlineStr">
        <is>
          <t>MJÖLBY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46318</v>
      </c>
      <c r="F114" t="inlineStr">
        <is>
          <t>ÖSTERGÖTLANDS LÄN</t>
        </is>
      </c>
      <c r="G114" t="inlineStr">
        <is>
          <t>MJÖLBY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45293</v>
      </c>
      <c r="E115" s="1" t="n">
        <v>46318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46318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46318</v>
      </c>
      <c r="F117" t="inlineStr">
        <is>
          <t>ÖSTERGÖTLANDS LÄN</t>
        </is>
      </c>
      <c r="G117" t="inlineStr">
        <is>
          <t>MJÖLBY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24139-2026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46168</v>
      </c>
      <c r="E118" s="1" t="n">
        <v>46318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46318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45161</v>
      </c>
      <c r="E120" s="1" t="n">
        <v>46318</v>
      </c>
      <c r="F120" t="inlineStr">
        <is>
          <t>ÖSTERGÖTLANDS LÄN</t>
        </is>
      </c>
      <c r="G120" t="inlineStr">
        <is>
          <t>MJÖLBY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46318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46171</v>
      </c>
      <c r="E122" s="1" t="n">
        <v>46318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46318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24894-2026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46318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66977-2021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46318</v>
      </c>
      <c r="F125" t="inlineStr">
        <is>
          <t>ÖSTERGÖTLANDS LÄN</t>
        </is>
      </c>
      <c r="G125" t="inlineStr">
        <is>
          <t>MJÖLBY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24888-2026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46318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46318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24903-2026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46174</v>
      </c>
      <c r="E128" s="1" t="n">
        <v>46318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46318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Kyrkan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46318</v>
      </c>
      <c r="F130" t="inlineStr">
        <is>
          <t>ÖSTERGÖTLANDS LÄN</t>
        </is>
      </c>
      <c r="G130" t="inlineStr">
        <is>
          <t>MJÖLBY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46318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46318</v>
      </c>
      <c r="F132" t="inlineStr">
        <is>
          <t>ÖSTERGÖTLANDS LÄN</t>
        </is>
      </c>
      <c r="G132" t="inlineStr">
        <is>
          <t>MJÖLBY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45581</v>
      </c>
      <c r="E133" s="1" t="n">
        <v>46318</v>
      </c>
      <c r="F133" t="inlineStr">
        <is>
          <t>ÖSTERGÖTLANDS LÄN</t>
        </is>
      </c>
      <c r="G133" t="inlineStr">
        <is>
          <t>MJÖLBY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46318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46318</v>
      </c>
      <c r="F135" t="inlineStr">
        <is>
          <t>ÖSTERGÖTLANDS LÄN</t>
        </is>
      </c>
      <c r="G135" t="inlineStr">
        <is>
          <t>MJÖLBY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46318</v>
      </c>
      <c r="F136" t="inlineStr">
        <is>
          <t>ÖSTERGÖTLANDS LÄN</t>
        </is>
      </c>
      <c r="G136" t="inlineStr">
        <is>
          <t>MJÖLBY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45526</v>
      </c>
      <c r="E137" s="1" t="n">
        <v>46318</v>
      </c>
      <c r="F137" t="inlineStr">
        <is>
          <t>ÖSTERGÖTLANDS LÄN</t>
        </is>
      </c>
      <c r="G137" t="inlineStr">
        <is>
          <t>MJÖLBY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46318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Kyrkan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46318</v>
      </c>
      <c r="F139" t="inlineStr">
        <is>
          <t>ÖSTERGÖTLANDS LÄN</t>
        </is>
      </c>
      <c r="G139" t="inlineStr">
        <is>
          <t>MJÖLBY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46318</v>
      </c>
      <c r="F140" t="inlineStr">
        <is>
          <t>ÖSTERGÖTLANDS LÄN</t>
        </is>
      </c>
      <c r="G140" t="inlineStr">
        <is>
          <t>MJÖLBY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46318</v>
      </c>
      <c r="F141" t="inlineStr">
        <is>
          <t>ÖSTERGÖTLANDS LÄN</t>
        </is>
      </c>
      <c r="G141" t="inlineStr">
        <is>
          <t>MJÖLBY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46318</v>
      </c>
      <c r="F142" t="inlineStr">
        <is>
          <t>ÖSTERGÖTLANDS LÄN</t>
        </is>
      </c>
      <c r="G142" t="inlineStr">
        <is>
          <t>MJÖLBY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46318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38278-2024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45545</v>
      </c>
      <c r="E144" s="1" t="n">
        <v>46318</v>
      </c>
      <c r="F144" t="inlineStr">
        <is>
          <t>ÖSTERGÖTLANDS LÄN</t>
        </is>
      </c>
      <c r="G144" t="inlineStr">
        <is>
          <t>MJÖLBY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27126-2026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46188</v>
      </c>
      <c r="E145" s="1" t="n">
        <v>46318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46318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46318</v>
      </c>
      <c r="F147" t="inlineStr">
        <is>
          <t>ÖSTERGÖTLANDS LÄN</t>
        </is>
      </c>
      <c r="G147" t="inlineStr">
        <is>
          <t>MJÖLBY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46318</v>
      </c>
      <c r="F148" t="inlineStr">
        <is>
          <t>ÖSTERGÖTLANDS LÄN</t>
        </is>
      </c>
      <c r="G148" t="inlineStr">
        <is>
          <t>MJÖLBY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46318</v>
      </c>
      <c r="F149" t="inlineStr">
        <is>
          <t>ÖSTERGÖTLANDS LÄN</t>
        </is>
      </c>
      <c r="G149" t="inlineStr">
        <is>
          <t>MJÖLBY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45314</v>
      </c>
      <c r="E150" s="1" t="n">
        <v>46318</v>
      </c>
      <c r="F150" t="inlineStr">
        <is>
          <t>ÖSTERGÖTLANDS LÄN</t>
        </is>
      </c>
      <c r="G150" t="inlineStr">
        <is>
          <t>MJÖLBY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46318</v>
      </c>
      <c r="F151" t="inlineStr">
        <is>
          <t>ÖSTERGÖTLANDS LÄN</t>
        </is>
      </c>
      <c r="G151" t="inlineStr">
        <is>
          <t>MJÖLBY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46318</v>
      </c>
      <c r="F152" t="inlineStr">
        <is>
          <t>ÖSTERGÖTLANDS LÄN</t>
        </is>
      </c>
      <c r="G152" t="inlineStr">
        <is>
          <t>MJÖLBY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45221</v>
      </c>
      <c r="E153" s="1" t="n">
        <v>46318</v>
      </c>
      <c r="F153" t="inlineStr">
        <is>
          <t>ÖSTERGÖTLANDS LÄN</t>
        </is>
      </c>
      <c r="G153" t="inlineStr">
        <is>
          <t>MJÖLBY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46318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46318</v>
      </c>
      <c r="F155" t="inlineStr">
        <is>
          <t>ÖSTERGÖTLANDS LÄN</t>
        </is>
      </c>
      <c r="G155" t="inlineStr">
        <is>
          <t>MJÖLBY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46318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46318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46318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44971</v>
      </c>
      <c r="E159" s="1" t="n">
        <v>46318</v>
      </c>
      <c r="F159" t="inlineStr">
        <is>
          <t>ÖSTERGÖTLANDS LÄN</t>
        </is>
      </c>
      <c r="G159" t="inlineStr">
        <is>
          <t>MJÖLBY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46318</v>
      </c>
      <c r="F160" t="inlineStr">
        <is>
          <t>ÖSTERGÖTLANDS LÄN</t>
        </is>
      </c>
      <c r="G160" t="inlineStr">
        <is>
          <t>MJÖLBY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46318</v>
      </c>
      <c r="F161" t="inlineStr">
        <is>
          <t>ÖSTERGÖTLANDS LÄN</t>
        </is>
      </c>
      <c r="G161" t="inlineStr">
        <is>
          <t>MJÖLBY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46318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46316</v>
      </c>
      <c r="E163" s="1" t="n">
        <v>46318</v>
      </c>
      <c r="F163" t="inlineStr">
        <is>
          <t>ÖSTERGÖTLANDS LÄN</t>
        </is>
      </c>
      <c r="G163" t="inlineStr">
        <is>
          <t>MJÖLBY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46318</v>
      </c>
      <c r="F164" t="inlineStr">
        <is>
          <t>ÖSTERGÖTLANDS LÄN</t>
        </is>
      </c>
      <c r="G164" t="inlineStr">
        <is>
          <t>MJÖLBY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46318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46318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46274</v>
      </c>
      <c r="E167" s="1" t="n">
        <v>46318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46318</v>
      </c>
      <c r="F168" t="inlineStr">
        <is>
          <t>ÖSTERGÖTLANDS LÄN</t>
        </is>
      </c>
      <c r="G168" t="inlineStr">
        <is>
          <t>MJÖLBY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46318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46318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46318</v>
      </c>
      <c r="F171" t="inlineStr">
        <is>
          <t>ÖSTERGÖTLANDS LÄN</t>
        </is>
      </c>
      <c r="G171" t="inlineStr">
        <is>
          <t>MJÖLBY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46318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46318</v>
      </c>
      <c r="F173" t="inlineStr">
        <is>
          <t>ÖSTERGÖTLANDS LÄN</t>
        </is>
      </c>
      <c r="G173" t="inlineStr">
        <is>
          <t>MJÖLBY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46318</v>
      </c>
      <c r="F174" t="inlineStr">
        <is>
          <t>ÖSTERGÖTLANDS LÄN</t>
        </is>
      </c>
      <c r="G174" t="inlineStr">
        <is>
          <t>MJÖLBY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46217</v>
      </c>
      <c r="E175" s="1" t="n">
        <v>46318</v>
      </c>
      <c r="F175" t="inlineStr">
        <is>
          <t>ÖSTERGÖTLANDS LÄN</t>
        </is>
      </c>
      <c r="G175" t="inlineStr">
        <is>
          <t>MJÖLBY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46318</v>
      </c>
      <c r="F176" t="inlineStr">
        <is>
          <t>ÖSTERGÖTLANDS LÄN</t>
        </is>
      </c>
      <c r="G176" t="inlineStr">
        <is>
          <t>MJÖLBY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46318</v>
      </c>
      <c r="F177" t="inlineStr">
        <is>
          <t>ÖSTERGÖTLANDS LÄN</t>
        </is>
      </c>
      <c r="G177" t="inlineStr">
        <is>
          <t>MJÖLBY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63449-2023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45273</v>
      </c>
      <c r="E178" s="1" t="n">
        <v>46318</v>
      </c>
      <c r="F178" t="inlineStr">
        <is>
          <t>ÖSTERGÖTLANDS LÄN</t>
        </is>
      </c>
      <c r="G178" t="inlineStr">
        <is>
          <t>MJÖLBY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46318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46318</v>
      </c>
      <c r="F180" t="inlineStr">
        <is>
          <t>ÖSTERGÖTLANDS LÄN</t>
        </is>
      </c>
      <c r="G180" t="inlineStr">
        <is>
          <t>MJÖLBY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46318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46318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46318</v>
      </c>
      <c r="F183" t="inlineStr">
        <is>
          <t>ÖSTERGÖTLANDS LÄN</t>
        </is>
      </c>
      <c r="G183" t="inlineStr">
        <is>
          <t>MJÖLBY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46318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46237</v>
      </c>
      <c r="E185" s="1" t="n">
        <v>46318</v>
      </c>
      <c r="F185" t="inlineStr">
        <is>
          <t>ÖSTERGÖTLANDS LÄN</t>
        </is>
      </c>
      <c r="G185" t="inlineStr">
        <is>
          <t>MJÖLBY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46318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46318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46318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45674</v>
      </c>
      <c r="E189" s="1" t="n">
        <v>46318</v>
      </c>
      <c r="F189" t="inlineStr">
        <is>
          <t>ÖSTERGÖTLANDS LÄN</t>
        </is>
      </c>
      <c r="G189" t="inlineStr">
        <is>
          <t>MJÖLBY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65921-2021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46318</v>
      </c>
      <c r="F190" t="inlineStr">
        <is>
          <t>ÖSTERGÖTLANDS LÄN</t>
        </is>
      </c>
      <c r="G190" t="inlineStr">
        <is>
          <t>MJÖLBY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46286</v>
      </c>
      <c r="E191" s="1" t="n">
        <v>46318</v>
      </c>
      <c r="F191" t="inlineStr">
        <is>
          <t>ÖSTERGÖTLANDS LÄN</t>
        </is>
      </c>
      <c r="G191" t="inlineStr">
        <is>
          <t>MJÖLBY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46318</v>
      </c>
      <c r="F192" t="inlineStr">
        <is>
          <t>ÖSTERGÖTLANDS LÄN</t>
        </is>
      </c>
      <c r="G192" t="inlineStr">
        <is>
          <t>MJÖLBY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46318</v>
      </c>
      <c r="F193" t="inlineStr">
        <is>
          <t>ÖSTERGÖTLANDS LÄN</t>
        </is>
      </c>
      <c r="G193" t="inlineStr">
        <is>
          <t>MJÖLBY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46318</v>
      </c>
      <c r="F194" t="inlineStr">
        <is>
          <t>ÖSTERGÖTLANDS LÄN</t>
        </is>
      </c>
      <c r="G194" t="inlineStr">
        <is>
          <t>MJÖLBY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46318</v>
      </c>
      <c r="F195" t="inlineStr">
        <is>
          <t>ÖSTERGÖTLANDS LÄN</t>
        </is>
      </c>
      <c r="G195" t="inlineStr">
        <is>
          <t>MJÖLBY</t>
        </is>
      </c>
      <c r="I195" t="n">
        <v>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46318</v>
      </c>
      <c r="F196" t="inlineStr">
        <is>
          <t>ÖSTERGÖTLANDS LÄN</t>
        </is>
      </c>
      <c r="G196" t="inlineStr">
        <is>
          <t>MJÖLBY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10984-2024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45370</v>
      </c>
      <c r="E197" s="1" t="n">
        <v>46318</v>
      </c>
      <c r="F197" t="inlineStr">
        <is>
          <t>ÖSTERGÖTLANDS LÄN</t>
        </is>
      </c>
      <c r="G197" t="inlineStr">
        <is>
          <t>MJÖLBY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46318</v>
      </c>
      <c r="F198" t="inlineStr">
        <is>
          <t>ÖSTERGÖTLANDS LÄN</t>
        </is>
      </c>
      <c r="G198" t="inlineStr">
        <is>
          <t>MJÖLBY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46318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46318</v>
      </c>
      <c r="F200" t="inlineStr">
        <is>
          <t>ÖSTERGÖTLANDS LÄN</t>
        </is>
      </c>
      <c r="G200" t="inlineStr">
        <is>
          <t>MJÖLBY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46318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46318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46318</v>
      </c>
      <c r="F203" t="inlineStr">
        <is>
          <t>ÖSTERGÖTLANDS LÄN</t>
        </is>
      </c>
      <c r="G203" t="inlineStr">
        <is>
          <t>MJÖLBY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46300</v>
      </c>
      <c r="E204" s="1" t="n">
        <v>46318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Sveaskog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46318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Sveaskog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46318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44904</v>
      </c>
      <c r="E207" s="1" t="n">
        <v>46318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46318</v>
      </c>
      <c r="F208" t="inlineStr">
        <is>
          <t>ÖSTERGÖTLANDS LÄN</t>
        </is>
      </c>
      <c r="G208" t="inlineStr">
        <is>
          <t>MJÖLBY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46318</v>
      </c>
      <c r="F209" t="inlineStr">
        <is>
          <t>ÖSTERGÖTLANDS LÄN</t>
        </is>
      </c>
      <c r="G209" t="inlineStr">
        <is>
          <t>MJÖLBY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46318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46318</v>
      </c>
      <c r="F211" t="inlineStr">
        <is>
          <t>ÖSTERGÖTLANDS LÄN</t>
        </is>
      </c>
      <c r="G211" t="inlineStr">
        <is>
          <t>MJÖLBY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45269</v>
      </c>
      <c r="E212" s="1" t="n">
        <v>46318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34794-2026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46258</v>
      </c>
      <c r="E213" s="1" t="n">
        <v>46318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46318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Sveaskog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46318</v>
      </c>
      <c r="F215" t="inlineStr">
        <is>
          <t>ÖSTERGÖTLANDS LÄN</t>
        </is>
      </c>
      <c r="G215" t="inlineStr">
        <is>
          <t>MJÖLBY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50896-2024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45602</v>
      </c>
      <c r="E216" s="1" t="n">
        <v>46318</v>
      </c>
      <c r="F216" t="inlineStr">
        <is>
          <t>ÖSTERGÖTLANDS LÄN</t>
        </is>
      </c>
      <c r="G216" t="inlineStr">
        <is>
          <t>MJÖLBY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46303</v>
      </c>
      <c r="E217" s="1" t="n">
        <v>46318</v>
      </c>
      <c r="F217" t="inlineStr">
        <is>
          <t>ÖSTERGÖTLANDS LÄN</t>
        </is>
      </c>
      <c r="G217" t="inlineStr">
        <is>
          <t>MJÖLBY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46302</v>
      </c>
      <c r="E218" s="1" t="n">
        <v>46318</v>
      </c>
      <c r="F218" t="inlineStr">
        <is>
          <t>ÖSTERGÖTLANDS LÄN</t>
        </is>
      </c>
      <c r="G218" t="inlineStr">
        <is>
          <t>MJÖLBY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44946</v>
      </c>
      <c r="E219" s="1" t="n">
        <v>46318</v>
      </c>
      <c r="F219" t="inlineStr">
        <is>
          <t>ÖSTERGÖTLANDS LÄN</t>
        </is>
      </c>
      <c r="G219" t="inlineStr">
        <is>
          <t>MJÖLBY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45324</v>
      </c>
      <c r="E220" s="1" t="n">
        <v>46318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45384</v>
      </c>
      <c r="E221" s="1" t="n">
        <v>46318</v>
      </c>
      <c r="F221" t="inlineStr">
        <is>
          <t>ÖSTERGÖTLANDS LÄN</t>
        </is>
      </c>
      <c r="G221" t="inlineStr">
        <is>
          <t>MJÖLBY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45597</v>
      </c>
      <c r="E222" s="1" t="n">
        <v>46318</v>
      </c>
      <c r="F222" t="inlineStr">
        <is>
          <t>ÖSTERGÖTLANDS LÄN</t>
        </is>
      </c>
      <c r="G222" t="inlineStr">
        <is>
          <t>MJÖLBY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46318</v>
      </c>
      <c r="F223" t="inlineStr">
        <is>
          <t>ÖSTERGÖTLANDS LÄN</t>
        </is>
      </c>
      <c r="G223" t="inlineStr">
        <is>
          <t>MJÖLBY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36206-2026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46267</v>
      </c>
      <c r="E224" s="1" t="n">
        <v>46318</v>
      </c>
      <c r="F224" t="inlineStr">
        <is>
          <t>ÖSTERGÖTLANDS LÄN</t>
        </is>
      </c>
      <c r="G224" t="inlineStr">
        <is>
          <t>MJÖLBY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46318</v>
      </c>
      <c r="F225" t="inlineStr">
        <is>
          <t>ÖSTERGÖTLANDS LÄN</t>
        </is>
      </c>
      <c r="G225" t="inlineStr">
        <is>
          <t>MJÖLBY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46318</v>
      </c>
      <c r="F226" t="inlineStr">
        <is>
          <t>ÖSTERGÖTLANDS LÄN</t>
        </is>
      </c>
      <c r="G226" t="inlineStr">
        <is>
          <t>MJÖLBY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34431-2022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44792</v>
      </c>
      <c r="E227" s="1" t="n">
        <v>46318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Kommuner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45261</v>
      </c>
      <c r="E228" s="1" t="n">
        <v>46318</v>
      </c>
      <c r="F228" t="inlineStr">
        <is>
          <t>ÖSTERGÖTLANDS LÄN</t>
        </is>
      </c>
      <c r="G228" t="inlineStr">
        <is>
          <t>MJÖLBY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45261</v>
      </c>
      <c r="E229" s="1" t="n">
        <v>46318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46318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46318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2026-10-23T01:57:16Z</dcterms:created>
  <dcterms:modified xmlns:dcterms="http://purl.org/dc/terms/" xmlns:xsi="http://www.w3.org/2001/XMLSchema-instance" xsi:type="dcterms:W3CDTF">2026-10-23T01:57:16Z</dcterms:modified>
</cp:coreProperties>
</file>