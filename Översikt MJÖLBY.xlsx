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46280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62852-2025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46008</v>
      </c>
      <c r="E8" s="1" t="n">
        <v>46280</v>
      </c>
      <c r="F8" t="inlineStr">
        <is>
          <t>ÖSTERGÖTLANDS LÄN</t>
        </is>
      </c>
      <c r="G8" t="inlineStr">
        <is>
          <t>MJÖLBY</t>
        </is>
      </c>
      <c r="H8" t="inlineStr">
        <is>
          <t>Kyrkan</t>
        </is>
      </c>
      <c r="I8" t="n">
        <v>3.1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Tibast</t>
        </is>
      </c>
      <c r="W8">
        <f>HYPERLINK("https://klasma.github.io/Logging_0586/artfynd/A 62852-2025 artfynd.xlsx", "A 62852-2025")</f>
        <v/>
      </c>
      <c r="X8">
        <f>HYPERLINK("https://klasma.github.io/Logging_0586/kartor/A 62852-2025 karta.png", "A 62852-2025")</f>
        <v/>
      </c>
      <c r="Y8">
        <f>HYPERLINK("https://klasma.github.io/Logging_0586/kartor_geotiff/A 62852-2025 georefererad karta.tif", "A 62852-2025")</f>
        <v/>
      </c>
      <c r="AA8">
        <f>HYPERLINK("https://klasma.github.io/Logging_0586/klagomål/A 62852-2025 FSC-klagomål.docx", "A 62852-2025")</f>
        <v/>
      </c>
      <c r="AB8">
        <f>HYPERLINK("https://klasma.github.io/Logging_0586/klagomålsmail/A 62852-2025 FSC-klagomål mail.docx", "A 62852-2025")</f>
        <v/>
      </c>
      <c r="AC8">
        <f>HYPERLINK("https://klasma.github.io/Logging_0586/tillsyn/A 62852-2025 tillsynsbegäran.docx", "A 62852-2025")</f>
        <v/>
      </c>
      <c r="AD8">
        <f>HYPERLINK("https://klasma.github.io/Logging_0586/tillsynsmail/A 62852-2025 tillsynsbegäran mail.docx", "A 62852-2025")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46280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46280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46280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46156-2025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46280</v>
      </c>
      <c r="F12" t="inlineStr">
        <is>
          <t>ÖSTERGÖTLANDS LÄN</t>
        </is>
      </c>
      <c r="G12" t="inlineStr">
        <is>
          <t>MJÖLBY</t>
        </is>
      </c>
      <c r="I12" t="n">
        <v>3.7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Tvåblad</t>
        </is>
      </c>
      <c r="W12">
        <f>HYPERLINK("https://klasma.github.io/Logging_0586/artfynd/A 46156-2025 artfynd.xlsx", "A 46156-2025")</f>
        <v/>
      </c>
      <c r="X12">
        <f>HYPERLINK("https://klasma.github.io/Logging_0586/kartor/A 46156-2025 karta.png", "A 46156-2025")</f>
        <v/>
      </c>
      <c r="Y12">
        <f>HYPERLINK("https://klasma.github.io/Logging_0586/kartor_geotiff/A 46156-2025 georefererad karta.tif", "A 46156-2025")</f>
        <v/>
      </c>
      <c r="AA12">
        <f>HYPERLINK("https://klasma.github.io/Logging_0586/klagomål/A 46156-2025 FSC-klagomål.docx", "A 46156-2025")</f>
        <v/>
      </c>
      <c r="AB12">
        <f>HYPERLINK("https://klasma.github.io/Logging_0586/klagomålsmail/A 46156-2025 FSC-klagomål mail.docx", "A 46156-2025")</f>
        <v/>
      </c>
      <c r="AC12">
        <f>HYPERLINK("https://klasma.github.io/Logging_0586/tillsyn/A 46156-2025 tillsynsbegäran.docx", "A 46156-2025")</f>
        <v/>
      </c>
      <c r="AD12">
        <f>HYPERLINK("https://klasma.github.io/Logging_0586/tillsynsmail/A 46156-2025 tillsynsbegäran mail.docx", "A 46156-2025")</f>
        <v/>
      </c>
    </row>
    <row r="13" ht="15" customHeight="1">
      <c r="A13" t="inlineStr">
        <is>
          <t>A 46123-2025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46280</v>
      </c>
      <c r="F13" t="inlineStr">
        <is>
          <t>ÖSTERGÖTLANDS LÄN</t>
        </is>
      </c>
      <c r="G13" t="inlineStr">
        <is>
          <t>MJÖLBY</t>
        </is>
      </c>
      <c r="I13" t="n">
        <v>5.6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HYPERLINK("https://klasma.github.io/Logging_0586/artfynd/A 46123-2025 artfynd.xlsx", "A 46123-2025")</f>
        <v/>
      </c>
      <c r="X13">
        <f>HYPERLINK("https://klasma.github.io/Logging_0586/kartor/A 46123-2025 karta.png", "A 46123-2025")</f>
        <v/>
      </c>
      <c r="Y13">
        <f>HYPERLINK("https://klasma.github.io/Logging_0586/kartor_geotiff/A 46123-2025 georefererad karta.tif", "A 46123-2025")</f>
        <v/>
      </c>
      <c r="Z13">
        <f>HYPERLINK("https://klasma.github.io/Logging_0586/knärot/A 46123-2025 karta knärot.png", "A 46123-2025")</f>
        <v/>
      </c>
      <c r="AA13">
        <f>HYPERLINK("https://klasma.github.io/Logging_0586/klagomål/A 46123-2025 FSC-klagomål.docx", "A 46123-2025")</f>
        <v/>
      </c>
      <c r="AB13">
        <f>HYPERLINK("https://klasma.github.io/Logging_0586/klagomålsmail/A 46123-2025 FSC-klagomål mail.docx", "A 46123-2025")</f>
        <v/>
      </c>
      <c r="AC13">
        <f>HYPERLINK("https://klasma.github.io/Logging_0586/tillsyn/A 46123-2025 tillsynsbegäran.docx", "A 46123-2025")</f>
        <v/>
      </c>
      <c r="AD13">
        <f>HYPERLINK("https://klasma.github.io/Logging_0586/tillsynsmail/A 46123-2025 tillsynsbegäran mail.docx", "A 46123-2025")</f>
        <v/>
      </c>
    </row>
    <row r="14" ht="15" customHeight="1">
      <c r="A14" t="inlineStr">
        <is>
          <t>A 46522-2025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45926</v>
      </c>
      <c r="E14" s="1" t="n">
        <v>46280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1.2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Tibast</t>
        </is>
      </c>
      <c r="W14">
        <f>HYPERLINK("https://klasma.github.io/Logging_0586/artfynd/A 46522-2025 artfynd.xlsx", "A 46522-2025")</f>
        <v/>
      </c>
      <c r="X14">
        <f>HYPERLINK("https://klasma.github.io/Logging_0586/kartor/A 46522-2025 karta.png", "A 46522-2025")</f>
        <v/>
      </c>
      <c r="Y14">
        <f>HYPERLINK("https://klasma.github.io/Logging_0586/kartor_geotiff/A 46522-2025 georefererad karta.tif", "A 46522-2025")</f>
        <v/>
      </c>
      <c r="AA14">
        <f>HYPERLINK("https://klasma.github.io/Logging_0586/klagomål/A 46522-2025 FSC-klagomål.docx", "A 46522-2025")</f>
        <v/>
      </c>
      <c r="AB14">
        <f>HYPERLINK("https://klasma.github.io/Logging_0586/klagomålsmail/A 46522-2025 FSC-klagomål mail.docx", "A 46522-2025")</f>
        <v/>
      </c>
      <c r="AC14">
        <f>HYPERLINK("https://klasma.github.io/Logging_0586/tillsyn/A 46522-2025 tillsynsbegäran.docx", "A 46522-2025")</f>
        <v/>
      </c>
      <c r="AD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22327-2024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45446</v>
      </c>
      <c r="E15" s="1" t="n">
        <v>46280</v>
      </c>
      <c r="F15" t="inlineStr">
        <is>
          <t>ÖSTERGÖTLANDS LÄN</t>
        </is>
      </c>
      <c r="G15" t="inlineStr">
        <is>
          <t>MJÖLBY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HYPERLINK("https://klasma.github.io/Logging_0586/artfynd/A 22327-2024 artfynd.xlsx", "A 22327-2024")</f>
        <v/>
      </c>
      <c r="X15">
        <f>HYPERLINK("https://klasma.github.io/Logging_0586/kartor/A 22327-2024 karta.png", "A 22327-2024")</f>
        <v/>
      </c>
      <c r="Y15">
        <f>HYPERLINK("https://klasma.github.io/Logging_0586/kartor_geotiff/A 22327-2024 georefererad karta.tif", "A 22327-2024")</f>
        <v/>
      </c>
      <c r="AA15">
        <f>HYPERLINK("https://klasma.github.io/Logging_0586/klagomål/A 22327-2024 FSC-klagomål.docx", "A 22327-2024")</f>
        <v/>
      </c>
      <c r="AB15">
        <f>HYPERLINK("https://klasma.github.io/Logging_0586/klagomålsmail/A 22327-2024 FSC-klagomål mail.docx", "A 22327-2024")</f>
        <v/>
      </c>
      <c r="AC15">
        <f>HYPERLINK("https://klasma.github.io/Logging_0586/tillsyn/A 22327-2024 tillsynsbegäran.docx", "A 22327-2024")</f>
        <v/>
      </c>
      <c r="AD15">
        <f>HYPERLINK("https://klasma.github.io/Logging_0586/tillsynsmail/A 22327-2024 tillsynsbegäran mail.docx", "A 22327-2024")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46280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46280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Vårstarr</t>
        </is>
      </c>
      <c r="W17">
        <f>HYPERLINK("https://klasma.github.io/Logging_0586/artfynd/A 51642-2021 artfynd.xlsx", "A 51642-2021")</f>
        <v/>
      </c>
      <c r="X17">
        <f>HYPERLINK("https://klasma.github.io/Logging_0586/kartor/A 51642-2021 karta.png", "A 51642-2021")</f>
        <v/>
      </c>
      <c r="Y17">
        <f>HYPERLINK("https://klasma.github.io/Logging_0586/kartor_geotiff/A 51642-2021 georefererad karta.tif", "A 51642-2021")</f>
        <v/>
      </c>
      <c r="AA17">
        <f>HYPERLINK("https://klasma.github.io/Logging_0586/klagomål/A 51642-2021 FSC-klagomål.docx", "A 51642-2021")</f>
        <v/>
      </c>
      <c r="AB17">
        <f>HYPERLINK("https://klasma.github.io/Logging_0586/klagomålsmail/A 51642-2021 FSC-klagomål mail.docx", "A 51642-2021")</f>
        <v/>
      </c>
      <c r="AC17">
        <f>HYPERLINK("https://klasma.github.io/Logging_0586/tillsyn/A 51642-2021 tillsynsbegäran.docx", "A 51642-2021")</f>
        <v/>
      </c>
      <c r="AD17">
        <f>HYPERLINK("https://klasma.github.io/Logging_0586/tillsynsmail/A 51642-2021 tillsynsbegäran mail.docx", "A 51642-2021")</f>
        <v/>
      </c>
    </row>
    <row r="18" ht="15" customHeight="1">
      <c r="A18" t="inlineStr">
        <is>
          <t>A 60983-2023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45261</v>
      </c>
      <c r="E18" s="1" t="n">
        <v>46280</v>
      </c>
      <c r="F18" t="inlineStr">
        <is>
          <t>ÖSTERGÖTLANDS LÄN</t>
        </is>
      </c>
      <c r="G18" t="inlineStr">
        <is>
          <t>MJÖLBY</t>
        </is>
      </c>
      <c r="I18" t="n">
        <v>3.8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HYPERLINK("https://klasma.github.io/Logging_0586/artfynd/A 60983-2023 artfynd.xlsx", "A 60983-2023")</f>
        <v/>
      </c>
      <c r="X18">
        <f>HYPERLINK("https://klasma.github.io/Logging_0586/kartor/A 60983-2023 karta.png", "A 60983-2023")</f>
        <v/>
      </c>
      <c r="Y18">
        <f>HYPERLINK("https://klasma.github.io/Logging_0586/kartor_geotiff/A 60983-2023 georefererad karta.tif", "A 60983-2023")</f>
        <v/>
      </c>
      <c r="AA18">
        <f>HYPERLINK("https://klasma.github.io/Logging_0586/klagomål/A 60983-2023 FSC-klagomål.docx", "A 60983-2023")</f>
        <v/>
      </c>
      <c r="AB18">
        <f>HYPERLINK("https://klasma.github.io/Logging_0586/klagomålsmail/A 60983-2023 FSC-klagomål mail.docx", "A 60983-2023")</f>
        <v/>
      </c>
      <c r="AC18">
        <f>HYPERLINK("https://klasma.github.io/Logging_0586/tillsyn/A 60983-2023 tillsynsbegäran.docx", "A 60983-2023")</f>
        <v/>
      </c>
      <c r="AD18">
        <f>HYPERLINK("https://klasma.github.io/Logging_0586/tillsynsmail/A 60983-2023 tillsynsbegäran mail.docx", "A 60983-2023")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46280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46280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9030-2022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44615</v>
      </c>
      <c r="E21" s="1" t="n">
        <v>46280</v>
      </c>
      <c r="F21" t="inlineStr">
        <is>
          <t>ÖSTERGÖTLANDS LÄN</t>
        </is>
      </c>
      <c r="G21" t="inlineStr">
        <is>
          <t>MJÖLBY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Skogsalm</t>
        </is>
      </c>
      <c r="W21">
        <f>HYPERLINK("https://klasma.github.io/Logging_0586/artfynd/A 9030-2022 artfynd.xlsx", "A 9030-2022")</f>
        <v/>
      </c>
      <c r="X21">
        <f>HYPERLINK("https://klasma.github.io/Logging_0586/kartor/A 9030-2022 karta.png", "A 9030-2022")</f>
        <v/>
      </c>
      <c r="Y21">
        <f>HYPERLINK("https://klasma.github.io/Logging_0586/kartor_geotiff/A 9030-2022 georefererad karta.tif", "A 9030-2022")</f>
        <v/>
      </c>
      <c r="AA21">
        <f>HYPERLINK("https://klasma.github.io/Logging_0586/klagomål/A 9030-2022 FSC-klagomål.docx", "A 9030-2022")</f>
        <v/>
      </c>
      <c r="AB21">
        <f>HYPERLINK("https://klasma.github.io/Logging_0586/klagomålsmail/A 9030-2022 FSC-klagomål mail.docx", "A 9030-2022")</f>
        <v/>
      </c>
      <c r="AC21">
        <f>HYPERLINK("https://klasma.github.io/Logging_0586/tillsyn/A 9030-2022 tillsynsbegäran.docx", "A 9030-2022")</f>
        <v/>
      </c>
      <c r="AD21">
        <f>HYPERLINK("https://klasma.github.io/Logging_0586/tillsynsmail/A 9030-2022 tillsynsbegäran mail.docx", "A 9030-2022")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46280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46280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45164-2023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45191</v>
      </c>
      <c r="E24" s="1" t="n">
        <v>46280</v>
      </c>
      <c r="F24" t="inlineStr">
        <is>
          <t>ÖSTERGÖTLANDS LÄN</t>
        </is>
      </c>
      <c r="G24" t="inlineStr">
        <is>
          <t>MJÖLBY</t>
        </is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Skogsduva</t>
        </is>
      </c>
      <c r="W24">
        <f>HYPERLINK("https://klasma.github.io/Logging_0586/artfynd/A 45164-2023 artfynd.xlsx", "A 45164-2023")</f>
        <v/>
      </c>
      <c r="X24">
        <f>HYPERLINK("https://klasma.github.io/Logging_0586/kartor/A 45164-2023 karta.png", "A 45164-2023")</f>
        <v/>
      </c>
      <c r="Y24">
        <f>HYPERLINK("https://klasma.github.io/Logging_0586/kartor_geotiff/A 45164-2023 georefererad karta.tif", "A 45164-2023")</f>
        <v/>
      </c>
      <c r="AA24">
        <f>HYPERLINK("https://klasma.github.io/Logging_0586/klagomål/A 45164-2023 FSC-klagomål.docx", "A 45164-2023")</f>
        <v/>
      </c>
      <c r="AB24">
        <f>HYPERLINK("https://klasma.github.io/Logging_0586/klagomålsmail/A 45164-2023 FSC-klagomål mail.docx", "A 45164-2023")</f>
        <v/>
      </c>
      <c r="AC24">
        <f>HYPERLINK("https://klasma.github.io/Logging_0586/tillsyn/A 45164-2023 tillsynsbegäran.docx", "A 45164-2023")</f>
        <v/>
      </c>
      <c r="AD24">
        <f>HYPERLINK("https://klasma.github.io/Logging_0586/tillsynsmail/A 45164-2023 tillsynsbegäran mail.docx", "A 45164-2023")</f>
        <v/>
      </c>
    </row>
    <row r="25" ht="15" customHeight="1">
      <c r="A25" t="inlineStr">
        <is>
          <t>A 50403-2022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44866</v>
      </c>
      <c r="E25" s="1" t="n">
        <v>46280</v>
      </c>
      <c r="F25" t="inlineStr">
        <is>
          <t>ÖSTERGÖTLANDS LÄN</t>
        </is>
      </c>
      <c r="G25" t="inlineStr">
        <is>
          <t>MJÖLBY</t>
        </is>
      </c>
      <c r="H25" t="inlineStr">
        <is>
          <t>Sveaskog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Springkorn</t>
        </is>
      </c>
      <c r="W25">
        <f>HYPERLINK("https://klasma.github.io/Logging_0586/artfynd/A 50403-2022 artfynd.xlsx", "A 50403-2022")</f>
        <v/>
      </c>
      <c r="X25">
        <f>HYPERLINK("https://klasma.github.io/Logging_0586/kartor/A 50403-2022 karta.png", "A 50403-2022")</f>
        <v/>
      </c>
      <c r="Y25">
        <f>HYPERLINK("https://klasma.github.io/Logging_0586/kartor_geotiff/A 50403-2022 georefererad karta.tif", "A 50403-2022")</f>
        <v/>
      </c>
      <c r="AA25">
        <f>HYPERLINK("https://klasma.github.io/Logging_0586/klagomål/A 50403-2022 FSC-klagomål.docx", "A 50403-2022")</f>
        <v/>
      </c>
      <c r="AB25">
        <f>HYPERLINK("https://klasma.github.io/Logging_0586/klagomålsmail/A 50403-2022 FSC-klagomål mail.docx", "A 50403-2022")</f>
        <v/>
      </c>
      <c r="AC25">
        <f>HYPERLINK("https://klasma.github.io/Logging_0586/tillsyn/A 50403-2022 tillsynsbegäran.docx", "A 50403-2022")</f>
        <v/>
      </c>
      <c r="AD25">
        <f>HYPERLINK("https://klasma.github.io/Logging_0586/tillsynsmail/A 50403-2022 tillsynsbegäran mail.docx", "A 50403-2022")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46280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46280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46280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46280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46280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46280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46280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46280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46280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46280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46280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46280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46280</v>
      </c>
      <c r="F38" t="inlineStr">
        <is>
          <t>ÖSTERGÖTLANDS LÄN</t>
        </is>
      </c>
      <c r="G38" t="inlineStr">
        <is>
          <t>MJÖLBY</t>
        </is>
      </c>
      <c r="H38" t="inlineStr">
        <is>
          <t>Allmännings- och besparingsskogar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46280</v>
      </c>
      <c r="F39" t="inlineStr">
        <is>
          <t>ÖSTERGÖTLANDS LÄN</t>
        </is>
      </c>
      <c r="G39" t="inlineStr">
        <is>
          <t>MJÖLBY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45407</v>
      </c>
      <c r="E40" s="1" t="n">
        <v>46280</v>
      </c>
      <c r="F40" t="inlineStr">
        <is>
          <t>ÖSTERGÖTLANDS LÄN</t>
        </is>
      </c>
      <c r="G40" t="inlineStr">
        <is>
          <t>MJÖLBY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46280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46280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46280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46006</v>
      </c>
      <c r="E44" s="1" t="n">
        <v>46280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46006</v>
      </c>
      <c r="E45" s="1" t="n">
        <v>46280</v>
      </c>
      <c r="F45" t="inlineStr">
        <is>
          <t>ÖSTERGÖTLANDS LÄN</t>
        </is>
      </c>
      <c r="G45" t="inlineStr">
        <is>
          <t>MJÖLBY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62391-2025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46007</v>
      </c>
      <c r="E46" s="1" t="n">
        <v>46280</v>
      </c>
      <c r="F46" t="inlineStr">
        <is>
          <t>ÖSTERGÖTLANDS LÄN</t>
        </is>
      </c>
      <c r="G46" t="inlineStr">
        <is>
          <t>MJÖLBY</t>
        </is>
      </c>
      <c r="H46" t="inlineStr">
        <is>
          <t>Kyrkan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24499-2025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46280</v>
      </c>
      <c r="F47" t="inlineStr">
        <is>
          <t>ÖSTERGÖTLANDS LÄN</t>
        </is>
      </c>
      <c r="G47" t="inlineStr">
        <is>
          <t>MJÖLBY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46280</v>
      </c>
      <c r="F48" t="inlineStr">
        <is>
          <t>ÖSTERGÖTLANDS LÄN</t>
        </is>
      </c>
      <c r="G48" t="inlineStr">
        <is>
          <t>MJÖLBY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46013</v>
      </c>
      <c r="E49" s="1" t="n">
        <v>46280</v>
      </c>
      <c r="F49" t="inlineStr">
        <is>
          <t>ÖSTERGÖTLANDS LÄN</t>
        </is>
      </c>
      <c r="G49" t="inlineStr">
        <is>
          <t>MJÖLBY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46280</v>
      </c>
      <c r="F50" t="inlineStr">
        <is>
          <t>ÖSTERGÖTLANDS LÄN</t>
        </is>
      </c>
      <c r="G50" t="inlineStr">
        <is>
          <t>MJÖLBY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46280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64930-2023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46280</v>
      </c>
      <c r="F52" t="inlineStr">
        <is>
          <t>ÖSTERGÖTLANDS LÄN</t>
        </is>
      </c>
      <c r="G52" t="inlineStr">
        <is>
          <t>MJÖLBY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46280</v>
      </c>
      <c r="F53" t="inlineStr">
        <is>
          <t>ÖSTERGÖTLANDS LÄN</t>
        </is>
      </c>
      <c r="G53" t="inlineStr">
        <is>
          <t>MJÖLBY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46280</v>
      </c>
      <c r="F54" t="inlineStr">
        <is>
          <t>ÖSTERGÖTLANDS LÄN</t>
        </is>
      </c>
      <c r="G54" t="inlineStr">
        <is>
          <t>MJÖLBY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46280</v>
      </c>
      <c r="F55" t="inlineStr">
        <is>
          <t>ÖSTERGÖTLANDS LÄN</t>
        </is>
      </c>
      <c r="G55" t="inlineStr">
        <is>
          <t>MJÖLBY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46280</v>
      </c>
      <c r="F56" t="inlineStr">
        <is>
          <t>ÖSTERGÖTLANDS LÄN</t>
        </is>
      </c>
      <c r="G56" t="inlineStr">
        <is>
          <t>MJÖLBY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46280</v>
      </c>
      <c r="F57" t="inlineStr">
        <is>
          <t>ÖSTERGÖTLANDS LÄN</t>
        </is>
      </c>
      <c r="G57" t="inlineStr">
        <is>
          <t>MJÖLBY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46280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46280</v>
      </c>
      <c r="F59" t="inlineStr">
        <is>
          <t>ÖSTERGÖTLANDS LÄN</t>
        </is>
      </c>
      <c r="G59" t="inlineStr">
        <is>
          <t>MJÖLBY</t>
        </is>
      </c>
      <c r="I59" t="n">
        <v>5.9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46280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46280</v>
      </c>
      <c r="F61" t="inlineStr">
        <is>
          <t>ÖSTERGÖTLANDS LÄN</t>
        </is>
      </c>
      <c r="G61" t="inlineStr">
        <is>
          <t>MJÖLBY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31623-2025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45834</v>
      </c>
      <c r="E62" s="1" t="n">
        <v>46280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40667-2023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46280</v>
      </c>
      <c r="F63" t="inlineStr">
        <is>
          <t>ÖSTERGÖTLANDS LÄN</t>
        </is>
      </c>
      <c r="G63" t="inlineStr">
        <is>
          <t>MJÖLBY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45917</v>
      </c>
      <c r="E64" s="1" t="n">
        <v>46280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46280</v>
      </c>
      <c r="F65" t="inlineStr">
        <is>
          <t>ÖSTERGÖTLANDS LÄN</t>
        </is>
      </c>
      <c r="G65" t="inlineStr">
        <is>
          <t>MJÖLBY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44980</v>
      </c>
      <c r="E66" s="1" t="n">
        <v>46280</v>
      </c>
      <c r="F66" t="inlineStr">
        <is>
          <t>ÖSTERGÖTLANDS LÄN</t>
        </is>
      </c>
      <c r="G66" t="inlineStr">
        <is>
          <t>MJÖLBY</t>
        </is>
      </c>
      <c r="H66" t="inlineStr">
        <is>
          <t>Kyrkan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50339-2023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46280</v>
      </c>
      <c r="F67" t="inlineStr">
        <is>
          <t>ÖSTERGÖTLANDS LÄN</t>
        </is>
      </c>
      <c r="G67" t="inlineStr">
        <is>
          <t>MJÖLBY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46280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46280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53518-2022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46280</v>
      </c>
      <c r="F70" t="inlineStr">
        <is>
          <t>ÖSTERGÖTLANDS LÄN</t>
        </is>
      </c>
      <c r="G70" t="inlineStr">
        <is>
          <t>MJÖLBY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46280</v>
      </c>
      <c r="F71" t="inlineStr">
        <is>
          <t>ÖSTERGÖTLANDS LÄN</t>
        </is>
      </c>
      <c r="G71" t="inlineStr">
        <is>
          <t>MJÖLBY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46280</v>
      </c>
      <c r="F72" t="inlineStr">
        <is>
          <t>ÖSTERGÖTLANDS LÄN</t>
        </is>
      </c>
      <c r="G72" t="inlineStr">
        <is>
          <t>MJÖLBY</t>
        </is>
      </c>
      <c r="H72" t="inlineStr">
        <is>
          <t>Sveaskog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44663</v>
      </c>
      <c r="E73" s="1" t="n">
        <v>46280</v>
      </c>
      <c r="F73" t="inlineStr">
        <is>
          <t>ÖSTERGÖTLANDS LÄN</t>
        </is>
      </c>
      <c r="G73" t="inlineStr">
        <is>
          <t>MJÖLBY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46280</v>
      </c>
      <c r="F74" t="inlineStr">
        <is>
          <t>ÖSTERGÖTLANDS LÄN</t>
        </is>
      </c>
      <c r="G74" t="inlineStr">
        <is>
          <t>MJÖLBY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45208</v>
      </c>
      <c r="E75" s="1" t="n">
        <v>46280</v>
      </c>
      <c r="F75" t="inlineStr">
        <is>
          <t>ÖSTERGÖTLANDS LÄN</t>
        </is>
      </c>
      <c r="G75" t="inlineStr">
        <is>
          <t>MJÖLBY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45221</v>
      </c>
      <c r="E76" s="1" t="n">
        <v>46280</v>
      </c>
      <c r="F76" t="inlineStr">
        <is>
          <t>ÖSTERGÖTLANDS LÄN</t>
        </is>
      </c>
      <c r="G76" t="inlineStr">
        <is>
          <t>MJÖLBY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37802-2022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44810</v>
      </c>
      <c r="E77" s="1" t="n">
        <v>46280</v>
      </c>
      <c r="F77" t="inlineStr">
        <is>
          <t>ÖSTERGÖTLANDS LÄN</t>
        </is>
      </c>
      <c r="G77" t="inlineStr">
        <is>
          <t>MJÖLBY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46280</v>
      </c>
      <c r="F78" t="inlineStr">
        <is>
          <t>ÖSTERGÖTLANDS LÄN</t>
        </is>
      </c>
      <c r="G78" t="inlineStr">
        <is>
          <t>MJÖLBY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11064-2026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46280</v>
      </c>
      <c r="F79" t="inlineStr">
        <is>
          <t>ÖSTERGÖTLANDS LÄN</t>
        </is>
      </c>
      <c r="G79" t="inlineStr">
        <is>
          <t>MJÖLBY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46280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46280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46280</v>
      </c>
      <c r="F82" t="inlineStr">
        <is>
          <t>ÖSTERGÖTLANDS LÄN</t>
        </is>
      </c>
      <c r="G82" t="inlineStr">
        <is>
          <t>MJÖLBY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58412-2023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45250</v>
      </c>
      <c r="E83" s="1" t="n">
        <v>46280</v>
      </c>
      <c r="F83" t="inlineStr">
        <is>
          <t>ÖSTERGÖTLANDS LÄN</t>
        </is>
      </c>
      <c r="G83" t="inlineStr">
        <is>
          <t>MJÖLBY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63449-2023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45273</v>
      </c>
      <c r="E84" s="1" t="n">
        <v>46280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46280</v>
      </c>
      <c r="F85" t="inlineStr">
        <is>
          <t>ÖSTERGÖTLANDS LÄN</t>
        </is>
      </c>
      <c r="G85" t="inlineStr">
        <is>
          <t>MJÖLBY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15032-2026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46104</v>
      </c>
      <c r="E86" s="1" t="n">
        <v>46280</v>
      </c>
      <c r="F86" t="inlineStr">
        <is>
          <t>ÖSTERGÖTLANDS LÄN</t>
        </is>
      </c>
      <c r="G86" t="inlineStr">
        <is>
          <t>MJÖLBY</t>
        </is>
      </c>
      <c r="H86" t="inlineStr">
        <is>
          <t>Övriga Aktiebolag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14928-2026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46280</v>
      </c>
      <c r="F87" t="inlineStr">
        <is>
          <t>ÖSTERGÖTLANDS LÄN</t>
        </is>
      </c>
      <c r="G87" t="inlineStr">
        <is>
          <t>MJÖLBY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46108</v>
      </c>
      <c r="E88" s="1" t="n">
        <v>46280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46111</v>
      </c>
      <c r="E89" s="1" t="n">
        <v>46280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45674</v>
      </c>
      <c r="E90" s="1" t="n">
        <v>46280</v>
      </c>
      <c r="F90" t="inlineStr">
        <is>
          <t>ÖSTERGÖTLANDS LÄN</t>
        </is>
      </c>
      <c r="G90" t="inlineStr">
        <is>
          <t>MJÖLBY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65921-2021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46280</v>
      </c>
      <c r="F91" t="inlineStr">
        <is>
          <t>ÖSTERGÖTLANDS LÄN</t>
        </is>
      </c>
      <c r="G91" t="inlineStr">
        <is>
          <t>MJÖLBY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44769-2025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46280</v>
      </c>
      <c r="F92" t="inlineStr">
        <is>
          <t>ÖSTERGÖTLANDS LÄN</t>
        </is>
      </c>
      <c r="G92" t="inlineStr">
        <is>
          <t>MJÖLBY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17700-2026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46121</v>
      </c>
      <c r="E93" s="1" t="n">
        <v>46280</v>
      </c>
      <c r="F93" t="inlineStr">
        <is>
          <t>ÖSTERGÖTLANDS LÄN</t>
        </is>
      </c>
      <c r="G93" t="inlineStr">
        <is>
          <t>MJÖLBY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44770-2025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45917</v>
      </c>
      <c r="E94" s="1" t="n">
        <v>46280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46121</v>
      </c>
      <c r="E95" s="1" t="n">
        <v>46280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54442-2021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46280</v>
      </c>
      <c r="F96" t="inlineStr">
        <is>
          <t>ÖSTERGÖTLANDS LÄN</t>
        </is>
      </c>
      <c r="G96" t="inlineStr">
        <is>
          <t>MJÖLBY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18517-2026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46127</v>
      </c>
      <c r="E97" s="1" t="n">
        <v>46280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46280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45825</v>
      </c>
      <c r="E99" s="1" t="n">
        <v>46280</v>
      </c>
      <c r="F99" t="inlineStr">
        <is>
          <t>ÖSTERGÖTLANDS LÄN</t>
        </is>
      </c>
      <c r="G99" t="inlineStr">
        <is>
          <t>MJÖLBY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46280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46280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46280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46280</v>
      </c>
      <c r="F103" t="inlineStr">
        <is>
          <t>ÖSTERGÖTLANDS LÄN</t>
        </is>
      </c>
      <c r="G103" t="inlineStr">
        <is>
          <t>MJÖLBY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46280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46280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46280</v>
      </c>
      <c r="F106" t="inlineStr">
        <is>
          <t>ÖSTERGÖTLANDS LÄN</t>
        </is>
      </c>
      <c r="G106" t="inlineStr">
        <is>
          <t>MJÖLBY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46280</v>
      </c>
      <c r="F107" t="inlineStr">
        <is>
          <t>ÖSTERGÖTLANDS LÄN</t>
        </is>
      </c>
      <c r="G107" t="inlineStr">
        <is>
          <t>MJÖLBY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46280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46280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41105-2025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46280</v>
      </c>
      <c r="F110" t="inlineStr">
        <is>
          <t>ÖSTERGÖTLANDS LÄN</t>
        </is>
      </c>
      <c r="G110" t="inlineStr">
        <is>
          <t>MJÖLBY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44936</v>
      </c>
      <c r="E111" s="1" t="n">
        <v>46280</v>
      </c>
      <c r="F111" t="inlineStr">
        <is>
          <t>ÖSTERGÖTLANDS LÄN</t>
        </is>
      </c>
      <c r="G111" t="inlineStr">
        <is>
          <t>MJÖLBY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45892</v>
      </c>
      <c r="E112" s="1" t="n">
        <v>46280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28321-2025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46280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46280</v>
      </c>
      <c r="F114" t="inlineStr">
        <is>
          <t>ÖSTERGÖTLANDS LÄN</t>
        </is>
      </c>
      <c r="G114" t="inlineStr">
        <is>
          <t>MJÖLBY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41337-2023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46280</v>
      </c>
      <c r="F115" t="inlineStr">
        <is>
          <t>ÖSTERGÖTLANDS LÄN</t>
        </is>
      </c>
      <c r="G115" t="inlineStr">
        <is>
          <t>MJÖLBY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46280</v>
      </c>
      <c r="F116" t="inlineStr">
        <is>
          <t>ÖSTERGÖTLANDS LÄN</t>
        </is>
      </c>
      <c r="G116" t="inlineStr">
        <is>
          <t>MJÖLBY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46280</v>
      </c>
      <c r="F117" t="inlineStr">
        <is>
          <t>ÖSTERGÖTLANDS LÄN</t>
        </is>
      </c>
      <c r="G117" t="inlineStr">
        <is>
          <t>MJÖLBY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45370</v>
      </c>
      <c r="E118" s="1" t="n">
        <v>46280</v>
      </c>
      <c r="F118" t="inlineStr">
        <is>
          <t>ÖSTERGÖTLANDS LÄN</t>
        </is>
      </c>
      <c r="G118" t="inlineStr">
        <is>
          <t>MJÖLBY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46280</v>
      </c>
      <c r="F119" t="inlineStr">
        <is>
          <t>ÖSTERGÖTLANDS LÄN</t>
        </is>
      </c>
      <c r="G119" t="inlineStr">
        <is>
          <t>MJÖLBY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45376</v>
      </c>
      <c r="E120" s="1" t="n">
        <v>46280</v>
      </c>
      <c r="F120" t="inlineStr">
        <is>
          <t>ÖSTERGÖTLANDS LÄN</t>
        </is>
      </c>
      <c r="G120" t="inlineStr">
        <is>
          <t>MJÖLBY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46007</v>
      </c>
      <c r="E121" s="1" t="n">
        <v>46280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Kommuner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45681</v>
      </c>
      <c r="E122" s="1" t="n">
        <v>46280</v>
      </c>
      <c r="F122" t="inlineStr">
        <is>
          <t>ÖSTERGÖTLANDS LÄN</t>
        </is>
      </c>
      <c r="G122" t="inlineStr">
        <is>
          <t>MJÖLBY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59234-2022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44904</v>
      </c>
      <c r="E123" s="1" t="n">
        <v>46280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44580</v>
      </c>
      <c r="E124" s="1" t="n">
        <v>46280</v>
      </c>
      <c r="F124" t="inlineStr">
        <is>
          <t>ÖSTERGÖTLANDS LÄN</t>
        </is>
      </c>
      <c r="G124" t="inlineStr">
        <is>
          <t>MJÖLBY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46280</v>
      </c>
      <c r="F125" t="inlineStr">
        <is>
          <t>ÖSTERGÖTLANDS LÄN</t>
        </is>
      </c>
      <c r="G125" t="inlineStr">
        <is>
          <t>MJÖLBY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21518-2026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46148</v>
      </c>
      <c r="E126" s="1" t="n">
        <v>46280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46280</v>
      </c>
      <c r="F127" t="inlineStr">
        <is>
          <t>ÖSTERGÖTLANDS LÄN</t>
        </is>
      </c>
      <c r="G127" t="inlineStr">
        <is>
          <t>MJÖLBY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46280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45269</v>
      </c>
      <c r="E129" s="1" t="n">
        <v>46280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46280</v>
      </c>
      <c r="F130" t="inlineStr">
        <is>
          <t>ÖSTERGÖTLANDS LÄN</t>
        </is>
      </c>
      <c r="G130" t="inlineStr">
        <is>
          <t>MJÖLBY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45602</v>
      </c>
      <c r="E131" s="1" t="n">
        <v>46280</v>
      </c>
      <c r="F131" t="inlineStr">
        <is>
          <t>ÖSTERGÖTLANDS LÄN</t>
        </is>
      </c>
      <c r="G131" t="inlineStr">
        <is>
          <t>MJÖLBY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46280</v>
      </c>
      <c r="F132" t="inlineStr">
        <is>
          <t>ÖSTERGÖTLANDS LÄN</t>
        </is>
      </c>
      <c r="G132" t="inlineStr">
        <is>
          <t>MJÖLBY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46280</v>
      </c>
      <c r="F133" t="inlineStr">
        <is>
          <t>ÖSTERGÖTLANDS LÄN</t>
        </is>
      </c>
      <c r="G133" t="inlineStr">
        <is>
          <t>MJÖLBY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24139-2026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46168</v>
      </c>
      <c r="E134" s="1" t="n">
        <v>46280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46170</v>
      </c>
      <c r="E135" s="1" t="n">
        <v>46280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25031-2026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46280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46280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46280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46280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46280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24896-2026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46280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24903-2026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46174</v>
      </c>
      <c r="E142" s="1" t="n">
        <v>46280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46280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27126-2026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46188</v>
      </c>
      <c r="E144" s="1" t="n">
        <v>46280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46280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46239</v>
      </c>
      <c r="E146" s="1" t="n">
        <v>46280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46237</v>
      </c>
      <c r="E147" s="1" t="n">
        <v>46280</v>
      </c>
      <c r="F147" t="inlineStr">
        <is>
          <t>ÖSTERGÖTLANDS LÄN</t>
        </is>
      </c>
      <c r="G147" t="inlineStr">
        <is>
          <t>MJÖLBY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46239</v>
      </c>
      <c r="E148" s="1" t="n">
        <v>46280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46239</v>
      </c>
      <c r="E149" s="1" t="n">
        <v>46280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46280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44946</v>
      </c>
      <c r="E151" s="1" t="n">
        <v>46280</v>
      </c>
      <c r="F151" t="inlineStr">
        <is>
          <t>ÖSTERGÖTLANDS LÄN</t>
        </is>
      </c>
      <c r="G151" t="inlineStr">
        <is>
          <t>MJÖLBY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28525-2026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46280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33010-2026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46280</v>
      </c>
      <c r="F153" t="inlineStr">
        <is>
          <t>ÖSTERGÖTLANDS LÄN</t>
        </is>
      </c>
      <c r="G153" t="inlineStr">
        <is>
          <t>MJÖLBY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4314-2024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45324</v>
      </c>
      <c r="E154" s="1" t="n">
        <v>46280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Kyrkan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45384</v>
      </c>
      <c r="E155" s="1" t="n">
        <v>46280</v>
      </c>
      <c r="F155" t="inlineStr">
        <is>
          <t>ÖSTERGÖTLANDS LÄN</t>
        </is>
      </c>
      <c r="G155" t="inlineStr">
        <is>
          <t>MJÖLBY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46253</v>
      </c>
      <c r="E156" s="1" t="n">
        <v>46280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45597</v>
      </c>
      <c r="E157" s="1" t="n">
        <v>46280</v>
      </c>
      <c r="F157" t="inlineStr">
        <is>
          <t>ÖSTERGÖTLANDS LÄN</t>
        </is>
      </c>
      <c r="G157" t="inlineStr">
        <is>
          <t>MJÖLBY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46280</v>
      </c>
      <c r="F158" t="inlineStr">
        <is>
          <t>ÖSTERGÖTLANDS LÄN</t>
        </is>
      </c>
      <c r="G158" t="inlineStr">
        <is>
          <t>MJÖLBY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46216</v>
      </c>
      <c r="E159" s="1" t="n">
        <v>46280</v>
      </c>
      <c r="F159" t="inlineStr">
        <is>
          <t>ÖSTERGÖTLANDS LÄN</t>
        </is>
      </c>
      <c r="G159" t="inlineStr">
        <is>
          <t>MJÖLBY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34794-2026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46258</v>
      </c>
      <c r="E160" s="1" t="n">
        <v>46280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46280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46280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46280</v>
      </c>
      <c r="F163" t="inlineStr">
        <is>
          <t>ÖSTERGÖTLANDS LÄN</t>
        </is>
      </c>
      <c r="G163" t="inlineStr">
        <is>
          <t>MJÖLBY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46280</v>
      </c>
      <c r="F164" t="inlineStr">
        <is>
          <t>ÖSTERGÖTLANDS LÄN</t>
        </is>
      </c>
      <c r="G164" t="inlineStr">
        <is>
          <t>MJÖLBY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41819-2023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46280</v>
      </c>
      <c r="F165" t="inlineStr">
        <is>
          <t>ÖSTERGÖTLANDS LÄN</t>
        </is>
      </c>
      <c r="G165" t="inlineStr">
        <is>
          <t>MJÖLBY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58415-2021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44488</v>
      </c>
      <c r="E166" s="1" t="n">
        <v>46280</v>
      </c>
      <c r="F166" t="inlineStr">
        <is>
          <t>ÖSTERGÖTLANDS LÄN</t>
        </is>
      </c>
      <c r="G166" t="inlineStr">
        <is>
          <t>MJÖLBY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44908</v>
      </c>
      <c r="E167" s="1" t="n">
        <v>46280</v>
      </c>
      <c r="F167" t="inlineStr">
        <is>
          <t>ÖSTERGÖTLANDS LÄN</t>
        </is>
      </c>
      <c r="G167" t="inlineStr">
        <is>
          <t>MJÖLBY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45446</v>
      </c>
      <c r="E168" s="1" t="n">
        <v>46280</v>
      </c>
      <c r="F168" t="inlineStr">
        <is>
          <t>ÖSTERGÖTLANDS LÄN</t>
        </is>
      </c>
      <c r="G168" t="inlineStr">
        <is>
          <t>MJÖLBY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46267</v>
      </c>
      <c r="E169" s="1" t="n">
        <v>46280</v>
      </c>
      <c r="F169" t="inlineStr">
        <is>
          <t>ÖSTERGÖTLANDS LÄN</t>
        </is>
      </c>
      <c r="G169" t="inlineStr">
        <is>
          <t>MJÖLBY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36209-2026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46267</v>
      </c>
      <c r="E170" s="1" t="n">
        <v>46280</v>
      </c>
      <c r="F170" t="inlineStr">
        <is>
          <t>ÖSTERGÖTLANDS LÄN</t>
        </is>
      </c>
      <c r="G170" t="inlineStr">
        <is>
          <t>MJÖLBY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46253</v>
      </c>
      <c r="E171" s="1" t="n">
        <v>46280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34431-2022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44792</v>
      </c>
      <c r="E172" s="1" t="n">
        <v>46280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Kommuner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46280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46280</v>
      </c>
      <c r="F174" t="inlineStr">
        <is>
          <t>ÖSTERGÖTLANDS LÄN</t>
        </is>
      </c>
      <c r="G174" t="inlineStr">
        <is>
          <t>MJÖLBY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46274</v>
      </c>
      <c r="E175" s="1" t="n">
        <v>46280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46275</v>
      </c>
      <c r="E176" s="1" t="n">
        <v>46280</v>
      </c>
      <c r="F176" t="inlineStr">
        <is>
          <t>ÖSTERGÖTLANDS LÄN</t>
        </is>
      </c>
      <c r="G176" t="inlineStr">
        <is>
          <t>MJÖLBY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37174-2026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46280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Kyrkan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46280</v>
      </c>
      <c r="F178" t="inlineStr">
        <is>
          <t>ÖSTERGÖTLANDS LÄN</t>
        </is>
      </c>
      <c r="G178" t="inlineStr">
        <is>
          <t>MJÖLBY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46280</v>
      </c>
      <c r="F179" t="inlineStr">
        <is>
          <t>ÖSTERGÖTLANDS LÄN</t>
        </is>
      </c>
      <c r="G179" t="inlineStr">
        <is>
          <t>MJÖLBY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46232</v>
      </c>
      <c r="E180" s="1" t="n">
        <v>46280</v>
      </c>
      <c r="F180" t="inlineStr">
        <is>
          <t>ÖSTERGÖTLANDS LÄN</t>
        </is>
      </c>
      <c r="G180" t="inlineStr">
        <is>
          <t>MJÖLBY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46280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46280</v>
      </c>
      <c r="F182" t="inlineStr">
        <is>
          <t>ÖSTERGÖTLANDS LÄN</t>
        </is>
      </c>
      <c r="G182" t="inlineStr">
        <is>
          <t>MJÖLBY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46232</v>
      </c>
      <c r="E183" s="1" t="n">
        <v>46280</v>
      </c>
      <c r="F183" t="inlineStr">
        <is>
          <t>ÖSTERGÖTLANDS LÄN</t>
        </is>
      </c>
      <c r="G183" t="inlineStr">
        <is>
          <t>MJÖLBY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46280</v>
      </c>
      <c r="F184" t="inlineStr">
        <is>
          <t>ÖSTERGÖTLANDS LÄN</t>
        </is>
      </c>
      <c r="G184" t="inlineStr">
        <is>
          <t>MJÖLBY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45261</v>
      </c>
      <c r="E185" s="1" t="n">
        <v>46280</v>
      </c>
      <c r="F185" t="inlineStr">
        <is>
          <t>ÖSTERGÖTLANDS LÄN</t>
        </is>
      </c>
      <c r="G185" t="inlineStr">
        <is>
          <t>MJÖLBY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46279</v>
      </c>
      <c r="E186" s="1" t="n">
        <v>46280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46280</v>
      </c>
      <c r="F187" t="inlineStr">
        <is>
          <t>ÖSTERGÖTLANDS LÄN</t>
        </is>
      </c>
      <c r="G187" t="inlineStr">
        <is>
          <t>MJÖLBY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46280</v>
      </c>
      <c r="F188" t="inlineStr">
        <is>
          <t>ÖSTERGÖTLANDS LÄN</t>
        </is>
      </c>
      <c r="G188" t="inlineStr">
        <is>
          <t>MJÖLBY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64934-2023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45282</v>
      </c>
      <c r="E189" s="1" t="n">
        <v>46280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37631-2023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45159</v>
      </c>
      <c r="E190" s="1" t="n">
        <v>46280</v>
      </c>
      <c r="F190" t="inlineStr">
        <is>
          <t>ÖSTERGÖTLANDS LÄN</t>
        </is>
      </c>
      <c r="G190" t="inlineStr">
        <is>
          <t>MJÖLBY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46280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59410-2022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44907</v>
      </c>
      <c r="E192" s="1" t="n">
        <v>46280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59411-2022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44907</v>
      </c>
      <c r="E193" s="1" t="n">
        <v>46280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45677</v>
      </c>
      <c r="E194" s="1" t="n">
        <v>46280</v>
      </c>
      <c r="F194" t="inlineStr">
        <is>
          <t>ÖSTERGÖTLANDS LÄN</t>
        </is>
      </c>
      <c r="G194" t="inlineStr">
        <is>
          <t>MJÖLBY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34521-2024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45525</v>
      </c>
      <c r="E195" s="1" t="n">
        <v>46280</v>
      </c>
      <c r="F195" t="inlineStr">
        <is>
          <t>ÖSTERGÖTLANDS LÄN</t>
        </is>
      </c>
      <c r="G195" t="inlineStr">
        <is>
          <t>MJÖLBY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8658-2022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44613</v>
      </c>
      <c r="E196" s="1" t="n">
        <v>46280</v>
      </c>
      <c r="F196" t="inlineStr">
        <is>
          <t>ÖSTERGÖTLANDS LÄN</t>
        </is>
      </c>
      <c r="G196" t="inlineStr">
        <is>
          <t>MJÖLBY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45217</v>
      </c>
      <c r="E197" s="1" t="n">
        <v>46280</v>
      </c>
      <c r="F197" t="inlineStr">
        <is>
          <t>ÖSTERGÖTLANDS LÄN</t>
        </is>
      </c>
      <c r="G197" t="inlineStr">
        <is>
          <t>MJÖLBY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46280</v>
      </c>
      <c r="F198" t="inlineStr">
        <is>
          <t>ÖSTERGÖTLANDS LÄN</t>
        </is>
      </c>
      <c r="G198" t="inlineStr">
        <is>
          <t>MJÖLBY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46280</v>
      </c>
      <c r="F199" t="inlineStr">
        <is>
          <t>ÖSTERGÖTLANDS LÄN</t>
        </is>
      </c>
      <c r="G199" t="inlineStr">
        <is>
          <t>MJÖLBY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46280</v>
      </c>
      <c r="F200" t="inlineStr">
        <is>
          <t>ÖSTERGÖTLANDS LÄN</t>
        </is>
      </c>
      <c r="G200" t="inlineStr">
        <is>
          <t>MJÖLBY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52655-2023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45225</v>
      </c>
      <c r="E201" s="1" t="n">
        <v>46280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24866-2023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46280</v>
      </c>
      <c r="F202" t="inlineStr">
        <is>
          <t>ÖSTERGÖTLANDS LÄN</t>
        </is>
      </c>
      <c r="G202" t="inlineStr">
        <is>
          <t>MJÖLBY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46280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Kyrkan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44629</v>
      </c>
      <c r="E204" s="1" t="n">
        <v>46280</v>
      </c>
      <c r="F204" t="inlineStr">
        <is>
          <t>ÖSTERGÖTLANDS LÄN</t>
        </is>
      </c>
      <c r="G204" t="inlineStr">
        <is>
          <t>MJÖLBY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68095-2021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44526</v>
      </c>
      <c r="E205" s="1" t="n">
        <v>46280</v>
      </c>
      <c r="F205" t="inlineStr">
        <is>
          <t>ÖSTERGÖTLANDS LÄN</t>
        </is>
      </c>
      <c r="G205" t="inlineStr">
        <is>
          <t>MJÖLBY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58800-2022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44903</v>
      </c>
      <c r="E206" s="1" t="n">
        <v>46280</v>
      </c>
      <c r="F206" t="inlineStr">
        <is>
          <t>ÖSTERGÖTLANDS LÄN</t>
        </is>
      </c>
      <c r="G206" t="inlineStr">
        <is>
          <t>MJÖLBY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44957</v>
      </c>
      <c r="E207" s="1" t="n">
        <v>46280</v>
      </c>
      <c r="F207" t="inlineStr">
        <is>
          <t>ÖSTERGÖTLANDS LÄN</t>
        </is>
      </c>
      <c r="G207" t="inlineStr">
        <is>
          <t>MJÖLBY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46280</v>
      </c>
      <c r="F208" t="inlineStr">
        <is>
          <t>ÖSTERGÖTLANDS LÄN</t>
        </is>
      </c>
      <c r="G208" t="inlineStr">
        <is>
          <t>MJÖLBY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51630-2021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44462</v>
      </c>
      <c r="E209" s="1" t="n">
        <v>46280</v>
      </c>
      <c r="F209" t="inlineStr">
        <is>
          <t>ÖSTERGÖTLANDS LÄN</t>
        </is>
      </c>
      <c r="G209" t="inlineStr">
        <is>
          <t>MJÖLBY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45401</v>
      </c>
      <c r="E210" s="1" t="n">
        <v>46280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45918-2024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46280</v>
      </c>
      <c r="F211" t="inlineStr">
        <is>
          <t>ÖSTERGÖTLANDS LÄN</t>
        </is>
      </c>
      <c r="G211" t="inlineStr">
        <is>
          <t>MJÖLBY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46280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46280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Kyrkan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44888</v>
      </c>
      <c r="E214" s="1" t="n">
        <v>46280</v>
      </c>
      <c r="F214" t="inlineStr">
        <is>
          <t>ÖSTERGÖTLANDS LÄN</t>
        </is>
      </c>
      <c r="G214" t="inlineStr">
        <is>
          <t>MJÖLBY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44879</v>
      </c>
      <c r="E215" s="1" t="n">
        <v>46280</v>
      </c>
      <c r="F215" t="inlineStr">
        <is>
          <t>ÖSTERGÖTLANDS LÄN</t>
        </is>
      </c>
      <c r="G215" t="inlineStr">
        <is>
          <t>MJÖLBY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46280</v>
      </c>
      <c r="F216" t="inlineStr">
        <is>
          <t>ÖSTERGÖTLANDS LÄN</t>
        </is>
      </c>
      <c r="G216" t="inlineStr">
        <is>
          <t>MJÖLBY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46280</v>
      </c>
      <c r="F217" t="inlineStr">
        <is>
          <t>ÖSTERGÖTLANDS LÄN</t>
        </is>
      </c>
      <c r="G217" t="inlineStr">
        <is>
          <t>MJÖLBY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15467-2023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45020</v>
      </c>
      <c r="E218" s="1" t="n">
        <v>46280</v>
      </c>
      <c r="F218" t="inlineStr">
        <is>
          <t>ÖSTERGÖTLANDS LÄN</t>
        </is>
      </c>
      <c r="G218" t="inlineStr">
        <is>
          <t>MJÖLBY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72558-2021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44546</v>
      </c>
      <c r="E219" s="1" t="n">
        <v>46280</v>
      </c>
      <c r="F219" t="inlineStr">
        <is>
          <t>ÖSTERGÖTLANDS LÄN</t>
        </is>
      </c>
      <c r="G219" t="inlineStr">
        <is>
          <t>MJÖLBY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46280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45293</v>
      </c>
      <c r="E221" s="1" t="n">
        <v>46280</v>
      </c>
      <c r="F221" t="inlineStr">
        <is>
          <t>ÖSTERGÖTLANDS LÄN</t>
        </is>
      </c>
      <c r="G221" t="inlineStr">
        <is>
          <t>MJÖLBY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66977-2021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44522</v>
      </c>
      <c r="E222" s="1" t="n">
        <v>46280</v>
      </c>
      <c r="F222" t="inlineStr">
        <is>
          <t>ÖSTERGÖTLANDS LÄN</t>
        </is>
      </c>
      <c r="G222" t="inlineStr">
        <is>
          <t>MJÖLBY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49566-2021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44455</v>
      </c>
      <c r="E223" s="1" t="n">
        <v>46280</v>
      </c>
      <c r="F223" t="inlineStr">
        <is>
          <t>ÖSTERGÖTLANDS LÄN</t>
        </is>
      </c>
      <c r="G223" t="inlineStr">
        <is>
          <t>MJÖLBY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46280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Kyrkan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46280</v>
      </c>
      <c r="F225" t="inlineStr">
        <is>
          <t>ÖSTERGÖTLANDS LÄN</t>
        </is>
      </c>
      <c r="G225" t="inlineStr">
        <is>
          <t>MJÖLBY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46280</v>
      </c>
      <c r="F226" t="inlineStr">
        <is>
          <t>ÖSTERGÖTLANDS LÄN</t>
        </is>
      </c>
      <c r="G226" t="inlineStr">
        <is>
          <t>MJÖLBY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46280</v>
      </c>
      <c r="F227" t="inlineStr">
        <is>
          <t>ÖSTERGÖTLANDS LÄN</t>
        </is>
      </c>
      <c r="G227" t="inlineStr">
        <is>
          <t>MJÖLBY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45526</v>
      </c>
      <c r="E228" s="1" t="n">
        <v>46280</v>
      </c>
      <c r="F228" t="inlineStr">
        <is>
          <t>ÖSTERGÖTLANDS LÄN</t>
        </is>
      </c>
      <c r="G228" t="inlineStr">
        <is>
          <t>MJÖLBY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46280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45384</v>
      </c>
      <c r="E230" s="1" t="n">
        <v>46280</v>
      </c>
      <c r="F230" t="inlineStr">
        <is>
          <t>ÖSTERGÖTLANDS LÄN</t>
        </is>
      </c>
      <c r="G230" t="inlineStr">
        <is>
          <t>MJÖLBY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49971-2023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46280</v>
      </c>
      <c r="F231" t="inlineStr">
        <is>
          <t>ÖSTERGÖTLANDS LÄN</t>
        </is>
      </c>
      <c r="G231" t="inlineStr">
        <is>
          <t>MJÖLBY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45736</v>
      </c>
      <c r="E232" s="1" t="n">
        <v>46280</v>
      </c>
      <c r="F232" t="inlineStr">
        <is>
          <t>ÖSTERGÖTLANDS LÄN</t>
        </is>
      </c>
      <c r="G232" t="inlineStr">
        <is>
          <t>MJÖLBY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38278-2024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45545</v>
      </c>
      <c r="E233" s="1" t="n">
        <v>46280</v>
      </c>
      <c r="F233" t="inlineStr">
        <is>
          <t>ÖSTERGÖTLANDS LÄN</t>
        </is>
      </c>
      <c r="G233" t="inlineStr">
        <is>
          <t>MJÖLBY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46280</v>
      </c>
      <c r="F234" t="inlineStr">
        <is>
          <t>ÖSTERGÖTLANDS LÄN</t>
        </is>
      </c>
      <c r="G234" t="inlineStr">
        <is>
          <t>MJÖLBY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46280</v>
      </c>
      <c r="F235" t="inlineStr">
        <is>
          <t>ÖSTERGÖTLANDS LÄN</t>
        </is>
      </c>
      <c r="G235" t="inlineStr">
        <is>
          <t>MJÖLBY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45314</v>
      </c>
      <c r="E236" s="1" t="n">
        <v>46280</v>
      </c>
      <c r="F236" t="inlineStr">
        <is>
          <t>ÖSTERGÖTLANDS LÄN</t>
        </is>
      </c>
      <c r="G236" t="inlineStr">
        <is>
          <t>MJÖLBY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1827-2026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46197</v>
      </c>
      <c r="E237" s="1" t="n">
        <v>46280</v>
      </c>
      <c r="F237" t="inlineStr">
        <is>
          <t>ÖSTERGÖTLANDS LÄN</t>
        </is>
      </c>
      <c r="G237" t="inlineStr">
        <is>
          <t>MJÖLBY</t>
        </is>
      </c>
      <c r="H237" t="inlineStr">
        <is>
          <t>Övriga Aktiebolag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2026-09-15T08:14:54Z</dcterms:created>
  <dcterms:modified xmlns:dcterms="http://purl.org/dc/terms/" xmlns:xsi="http://www.w3.org/2001/XMLSchema-instance" xsi:type="dcterms:W3CDTF">2026-09-15T08:14:55Z</dcterms:modified>
</cp:coreProperties>
</file>