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46266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46266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46266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46266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53521-2023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45230</v>
      </c>
      <c r="E8" s="1" t="n">
        <v>46266</v>
      </c>
      <c r="F8" t="inlineStr">
        <is>
          <t>ÖSTERGÖTLANDS LÄN</t>
        </is>
      </c>
      <c r="G8" t="inlineStr">
        <is>
          <t>MJÖLBY</t>
        </is>
      </c>
      <c r="I8" t="n">
        <v>1.9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Skogsduva</t>
        </is>
      </c>
      <c r="W8">
        <f>HYPERLINK("https://klasma.github.io/Logging_0586/artfynd/A 53521-2023 artfynd.xlsx", "A 53521-2023")</f>
        <v/>
      </c>
      <c r="X8">
        <f>HYPERLINK("https://klasma.github.io/Logging_0586/kartor/A 53521-2023 karta.png", "A 53521-2023")</f>
        <v/>
      </c>
      <c r="Y8">
        <f>HYPERLINK("https://klasma.github.io/Logging_0586/kartor_geotiff/A 53521-2023 georefererad karta.tif", "A 53521-2023")</f>
        <v/>
      </c>
      <c r="AA8">
        <f>HYPERLINK("https://klasma.github.io/Logging_0586/klagomål/A 53521-2023 FSC-klagomål.docx", "A 53521-2023")</f>
        <v/>
      </c>
      <c r="AB8">
        <f>HYPERLINK("https://klasma.github.io/Logging_0586/klagomålsmail/A 53521-2023 FSC-klagomål mail.docx", "A 53521-2023")</f>
        <v/>
      </c>
      <c r="AC8">
        <f>HYPERLINK("https://klasma.github.io/Logging_0586/tillsyn/A 53521-2023 tillsynsbegäran.docx", "A 53521-2023")</f>
        <v/>
      </c>
      <c r="AD8">
        <f>HYPERLINK("https://klasma.github.io/Logging_0586/tillsynsmail/A 53521-2023 tillsynsbegäran mail.docx", "A 53521-2023")</f>
        <v/>
      </c>
    </row>
    <row r="9" ht="15" customHeight="1">
      <c r="A9" t="inlineStr">
        <is>
          <t>A 13567-2025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45736</v>
      </c>
      <c r="E9" s="1" t="n">
        <v>46266</v>
      </c>
      <c r="F9" t="inlineStr">
        <is>
          <t>ÖSTERGÖTLANDS LÄN</t>
        </is>
      </c>
      <c r="G9" t="inlineStr">
        <is>
          <t>MJÖLBY</t>
        </is>
      </c>
      <c r="I9" t="n">
        <v>4.1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Klubbsprötad bastardsvärmare</t>
        </is>
      </c>
      <c r="W9">
        <f>HYPERLINK("https://klasma.github.io/Logging_0586/artfynd/A 13567-2025 artfynd.xlsx", "A 13567-2025")</f>
        <v/>
      </c>
      <c r="X9">
        <f>HYPERLINK("https://klasma.github.io/Logging_0586/kartor/A 13567-2025 karta.png", "A 13567-2025")</f>
        <v/>
      </c>
      <c r="Y9">
        <f>HYPERLINK("https://klasma.github.io/Logging_0586/kartor_geotiff/A 13567-2025 georefererad karta.tif", "A 13567-2025")</f>
        <v/>
      </c>
      <c r="AA9">
        <f>HYPERLINK("https://klasma.github.io/Logging_0586/klagomål/A 13567-2025 FSC-klagomål.docx", "A 13567-2025")</f>
        <v/>
      </c>
      <c r="AB9">
        <f>HYPERLINK("https://klasma.github.io/Logging_0586/klagomålsmail/A 13567-2025 FSC-klagomål mail.docx", "A 13567-2025")</f>
        <v/>
      </c>
      <c r="AC9">
        <f>HYPERLINK("https://klasma.github.io/Logging_0586/tillsyn/A 13567-2025 tillsynsbegäran.docx", "A 13567-2025")</f>
        <v/>
      </c>
      <c r="AD9">
        <f>HYPERLINK("https://klasma.github.io/Logging_0586/tillsynsmail/A 13567-2025 tillsynsbegäran mail.docx", "A 13567-2025")</f>
        <v/>
      </c>
    </row>
    <row r="10" ht="15" customHeight="1">
      <c r="A10" t="inlineStr">
        <is>
          <t>A 2230-2025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45673</v>
      </c>
      <c r="E10" s="1" t="n">
        <v>46266</v>
      </c>
      <c r="F10" t="inlineStr">
        <is>
          <t>ÖSTERGÖTLANDS LÄN</t>
        </is>
      </c>
      <c r="G10" t="inlineStr">
        <is>
          <t>MJÖLBY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Fläcknycklar</t>
        </is>
      </c>
      <c r="W10">
        <f>HYPERLINK("https://klasma.github.io/Logging_0586/artfynd/A 2230-2025 artfynd.xlsx", "A 2230-2025")</f>
        <v/>
      </c>
      <c r="X10">
        <f>HYPERLINK("https://klasma.github.io/Logging_0586/kartor/A 2230-2025 karta.png", "A 2230-2025")</f>
        <v/>
      </c>
      <c r="Y10">
        <f>HYPERLINK("https://klasma.github.io/Logging_0586/kartor_geotiff/A 2230-2025 georefererad karta.tif", "A 2230-2025")</f>
        <v/>
      </c>
      <c r="AA10">
        <f>HYPERLINK("https://klasma.github.io/Logging_0586/klagomål/A 2230-2025 FSC-klagomål.docx", "A 2230-2025")</f>
        <v/>
      </c>
      <c r="AB10">
        <f>HYPERLINK("https://klasma.github.io/Logging_0586/klagomålsmail/A 2230-2025 FSC-klagomål mail.docx", "A 2230-2025")</f>
        <v/>
      </c>
      <c r="AC10">
        <f>HYPERLINK("https://klasma.github.io/Logging_0586/tillsyn/A 2230-2025 tillsynsbegäran.docx", "A 2230-2025")</f>
        <v/>
      </c>
      <c r="AD10">
        <f>HYPERLINK("https://klasma.github.io/Logging_0586/tillsynsmail/A 2230-2025 tillsynsbegäran mail.docx", "A 2230-2025")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46266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46266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46156-2025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46266</v>
      </c>
      <c r="F13" t="inlineStr">
        <is>
          <t>ÖSTERGÖTLANDS LÄN</t>
        </is>
      </c>
      <c r="G13" t="inlineStr">
        <is>
          <t>MJÖLBY</t>
        </is>
      </c>
      <c r="I13" t="n">
        <v>3.7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Tvåblad</t>
        </is>
      </c>
      <c r="W13">
        <f>HYPERLINK("https://klasma.github.io/Logging_0586/artfynd/A 46156-2025 artfynd.xlsx", "A 46156-2025")</f>
        <v/>
      </c>
      <c r="X13">
        <f>HYPERLINK("https://klasma.github.io/Logging_0586/kartor/A 46156-2025 karta.png", "A 46156-2025")</f>
        <v/>
      </c>
      <c r="Y13">
        <f>HYPERLINK("https://klasma.github.io/Logging_0586/kartor_geotiff/A 46156-2025 georefererad karta.tif", "A 46156-2025")</f>
        <v/>
      </c>
      <c r="AA13">
        <f>HYPERLINK("https://klasma.github.io/Logging_0586/klagomål/A 46156-2025 FSC-klagomål.docx", "A 46156-2025")</f>
        <v/>
      </c>
      <c r="AB13">
        <f>HYPERLINK("https://klasma.github.io/Logging_0586/klagomålsmail/A 46156-2025 FSC-klagomål mail.docx", "A 46156-2025")</f>
        <v/>
      </c>
      <c r="AC13">
        <f>HYPERLINK("https://klasma.github.io/Logging_0586/tillsyn/A 46156-2025 tillsynsbegäran.docx", "A 46156-2025")</f>
        <v/>
      </c>
      <c r="AD13">
        <f>HYPERLINK("https://klasma.github.io/Logging_0586/tillsynsmail/A 46156-2025 tillsynsbegäran mail.docx", "A 46156-2025")</f>
        <v/>
      </c>
    </row>
    <row r="14" ht="15" customHeight="1">
      <c r="A14" t="inlineStr">
        <is>
          <t>A 46123-2025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46266</v>
      </c>
      <c r="F14" t="inlineStr">
        <is>
          <t>ÖSTERGÖTLANDS LÄN</t>
        </is>
      </c>
      <c r="G14" t="inlineStr">
        <is>
          <t>MJÖLBY</t>
        </is>
      </c>
      <c r="I14" t="n">
        <v>5.6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HYPERLINK("https://klasma.github.io/Logging_0586/artfynd/A 46123-2025 artfynd.xlsx", "A 46123-2025")</f>
        <v/>
      </c>
      <c r="X14">
        <f>HYPERLINK("https://klasma.github.io/Logging_0586/kartor/A 46123-2025 karta.png", "A 46123-2025")</f>
        <v/>
      </c>
      <c r="Y14">
        <f>HYPERLINK("https://klasma.github.io/Logging_0586/kartor_geotiff/A 46123-2025 georefererad karta.tif", "A 46123-2025")</f>
        <v/>
      </c>
      <c r="Z14">
        <f>HYPERLINK("https://klasma.github.io/Logging_0586/knärot/A 46123-2025 karta knärot.png", "A 46123-2025")</f>
        <v/>
      </c>
      <c r="AA14">
        <f>HYPERLINK("https://klasma.github.io/Logging_0586/klagomål/A 46123-2025 FSC-klagomål.docx", "A 46123-2025")</f>
        <v/>
      </c>
      <c r="AB14">
        <f>HYPERLINK("https://klasma.github.io/Logging_0586/klagomålsmail/A 46123-2025 FSC-klagomål mail.docx", "A 46123-2025")</f>
        <v/>
      </c>
      <c r="AC14">
        <f>HYPERLINK("https://klasma.github.io/Logging_0586/tillsyn/A 46123-2025 tillsynsbegäran.docx", "A 46123-2025")</f>
        <v/>
      </c>
      <c r="AD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45926</v>
      </c>
      <c r="E15" s="1" t="n">
        <v>46266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1.2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46522-2025 artfynd.xlsx", "A 46522-2025")</f>
        <v/>
      </c>
      <c r="X15">
        <f>HYPERLINK("https://klasma.github.io/Logging_0586/kartor/A 46522-2025 karta.png", "A 46522-2025")</f>
        <v/>
      </c>
      <c r="Y15">
        <f>HYPERLINK("https://klasma.github.io/Logging_0586/kartor_geotiff/A 46522-2025 georefererad karta.tif", "A 46522-2025")</f>
        <v/>
      </c>
      <c r="AA15">
        <f>HYPERLINK("https://klasma.github.io/Logging_0586/klagomål/A 46522-2025 FSC-klagomål.docx", "A 46522-2025")</f>
        <v/>
      </c>
      <c r="AB15">
        <f>HYPERLINK("https://klasma.github.io/Logging_0586/klagomålsmail/A 46522-2025 FSC-klagomål mail.docx", "A 46522-2025")</f>
        <v/>
      </c>
      <c r="AC15">
        <f>HYPERLINK("https://klasma.github.io/Logging_0586/tillsyn/A 46522-2025 tillsynsbegäran.docx", "A 46522-2025")</f>
        <v/>
      </c>
      <c r="AD15">
        <f>HYPERLINK("https://klasma.github.io/Logging_0586/tillsynsmail/A 46522-2025 tillsynsbegäran mail.docx", "A 46522-2025")</f>
        <v/>
      </c>
    </row>
    <row r="16" ht="15" customHeight="1">
      <c r="A16" t="inlineStr">
        <is>
          <t>A 22327-2024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46266</v>
      </c>
      <c r="F16" t="inlineStr">
        <is>
          <t>ÖSTERGÖTLANDS LÄN</t>
        </is>
      </c>
      <c r="G16" t="inlineStr">
        <is>
          <t>MJÖLBY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HYPERLINK("https://klasma.github.io/Logging_0586/artfynd/A 22327-2024 artfynd.xlsx", "A 22327-2024")</f>
        <v/>
      </c>
      <c r="X16">
        <f>HYPERLINK("https://klasma.github.io/Logging_0586/kartor/A 22327-2024 karta.png", "A 22327-2024")</f>
        <v/>
      </c>
      <c r="Y16">
        <f>HYPERLINK("https://klasma.github.io/Logging_0586/kartor_geotiff/A 22327-2024 georefererad karta.tif", "A 22327-2024")</f>
        <v/>
      </c>
      <c r="AA16">
        <f>HYPERLINK("https://klasma.github.io/Logging_0586/klagomål/A 22327-2024 FSC-klagomål.docx", "A 22327-2024")</f>
        <v/>
      </c>
      <c r="AB16">
        <f>HYPERLINK("https://klasma.github.io/Logging_0586/klagomålsmail/A 22327-2024 FSC-klagomål mail.docx", "A 22327-2024")</f>
        <v/>
      </c>
      <c r="AC16">
        <f>HYPERLINK("https://klasma.github.io/Logging_0586/tillsyn/A 22327-2024 tillsynsbegäran.docx", "A 22327-2024")</f>
        <v/>
      </c>
      <c r="AD16">
        <f>HYPERLINK("https://klasma.github.io/Logging_0586/tillsynsmail/A 22327-2024 tillsynsbegäran mail.docx", "A 22327-2024")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46266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60983-2023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45261</v>
      </c>
      <c r="E18" s="1" t="n">
        <v>46266</v>
      </c>
      <c r="F18" t="inlineStr">
        <is>
          <t>ÖSTERGÖTLANDS LÄN</t>
        </is>
      </c>
      <c r="G18" t="inlineStr">
        <is>
          <t>MJÖLBY</t>
        </is>
      </c>
      <c r="I18" t="n">
        <v>3.8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HYPERLINK("https://klasma.github.io/Logging_0586/artfynd/A 60983-2023 artfynd.xlsx", "A 60983-2023")</f>
        <v/>
      </c>
      <c r="X18">
        <f>HYPERLINK("https://klasma.github.io/Logging_0586/kartor/A 60983-2023 karta.png", "A 60983-2023")</f>
        <v/>
      </c>
      <c r="Y18">
        <f>HYPERLINK("https://klasma.github.io/Logging_0586/kartor_geotiff/A 60983-2023 georefererad karta.tif", "A 60983-2023")</f>
        <v/>
      </c>
      <c r="AA18">
        <f>HYPERLINK("https://klasma.github.io/Logging_0586/klagomål/A 60983-2023 FSC-klagomål.docx", "A 60983-2023")</f>
        <v/>
      </c>
      <c r="AB18">
        <f>HYPERLINK("https://klasma.github.io/Logging_0586/klagomålsmail/A 60983-2023 FSC-klagomål mail.docx", "A 60983-2023")</f>
        <v/>
      </c>
      <c r="AC18">
        <f>HYPERLINK("https://klasma.github.io/Logging_0586/tillsyn/A 60983-2023 tillsynsbegäran.docx", "A 60983-2023")</f>
        <v/>
      </c>
      <c r="AD18">
        <f>HYPERLINK("https://klasma.github.io/Logging_0586/tillsynsmail/A 60983-2023 tillsynsbegäran mail.docx", "A 60983-2023")</f>
        <v/>
      </c>
    </row>
    <row r="19" ht="15" customHeight="1">
      <c r="A19" t="inlineStr">
        <is>
          <t>A 9030-2022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44615</v>
      </c>
      <c r="E19" s="1" t="n">
        <v>46266</v>
      </c>
      <c r="F19" t="inlineStr">
        <is>
          <t>ÖSTERGÖTLANDS LÄN</t>
        </is>
      </c>
      <c r="G19" t="inlineStr">
        <is>
          <t>MJÖLBY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HYPERLINK("https://klasma.github.io/Logging_0586/artfynd/A 9030-2022 artfynd.xlsx", "A 9030-2022")</f>
        <v/>
      </c>
      <c r="X19">
        <f>HYPERLINK("https://klasma.github.io/Logging_0586/kartor/A 9030-2022 karta.png", "A 9030-2022")</f>
        <v/>
      </c>
      <c r="Y19">
        <f>HYPERLINK("https://klasma.github.io/Logging_0586/kartor_geotiff/A 9030-2022 georefererad karta.tif", "A 9030-2022")</f>
        <v/>
      </c>
      <c r="AA19">
        <f>HYPERLINK("https://klasma.github.io/Logging_0586/klagomål/A 9030-2022 FSC-klagomål.docx", "A 9030-2022")</f>
        <v/>
      </c>
      <c r="AB19">
        <f>HYPERLINK("https://klasma.github.io/Logging_0586/klagomålsmail/A 9030-2022 FSC-klagomål mail.docx", "A 9030-2022")</f>
        <v/>
      </c>
      <c r="AC19">
        <f>HYPERLINK("https://klasma.github.io/Logging_0586/tillsyn/A 9030-2022 tillsynsbegäran.docx", "A 9030-2022")</f>
        <v/>
      </c>
      <c r="AD19">
        <f>HYPERLINK("https://klasma.github.io/Logging_0586/tillsynsmail/A 9030-2022 tillsynsbegäran mail.docx", "A 9030-2022")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46266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46266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51642-2021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46266</v>
      </c>
      <c r="F22" t="inlineStr">
        <is>
          <t>ÖSTERGÖTLANDS LÄN</t>
        </is>
      </c>
      <c r="G22" t="inlineStr">
        <is>
          <t>MJÖLBY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Vårstarr</t>
        </is>
      </c>
      <c r="W22">
        <f>HYPERLINK("https://klasma.github.io/Logging_0586/artfynd/A 51642-2021 artfynd.xlsx", "A 51642-2021")</f>
        <v/>
      </c>
      <c r="X22">
        <f>HYPERLINK("https://klasma.github.io/Logging_0586/kartor/A 51642-2021 karta.png", "A 51642-2021")</f>
        <v/>
      </c>
      <c r="Y22">
        <f>HYPERLINK("https://klasma.github.io/Logging_0586/kartor_geotiff/A 51642-2021 georefererad karta.tif", "A 51642-2021")</f>
        <v/>
      </c>
      <c r="AA22">
        <f>HYPERLINK("https://klasma.github.io/Logging_0586/klagomål/A 51642-2021 FSC-klagomål.docx", "A 51642-2021")</f>
        <v/>
      </c>
      <c r="AB22">
        <f>HYPERLINK("https://klasma.github.io/Logging_0586/klagomålsmail/A 51642-2021 FSC-klagomål mail.docx", "A 51642-2021")</f>
        <v/>
      </c>
      <c r="AC22">
        <f>HYPERLINK("https://klasma.github.io/Logging_0586/tillsyn/A 51642-2021 tillsynsbegäran.docx", "A 51642-2021")</f>
        <v/>
      </c>
      <c r="AD22">
        <f>HYPERLINK("https://klasma.github.io/Logging_0586/tillsynsmail/A 51642-2021 tillsynsbegäran mail.docx", "A 51642-2021")</f>
        <v/>
      </c>
    </row>
    <row r="23" ht="15" customHeight="1">
      <c r="A23" t="inlineStr">
        <is>
          <t>A 50403-2022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44866</v>
      </c>
      <c r="E23" s="1" t="n">
        <v>46266</v>
      </c>
      <c r="F23" t="inlineStr">
        <is>
          <t>ÖSTERGÖTLANDS LÄN</t>
        </is>
      </c>
      <c r="G23" t="inlineStr">
        <is>
          <t>MJÖLBY</t>
        </is>
      </c>
      <c r="H23" t="inlineStr">
        <is>
          <t>Sveaskog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Springkorn</t>
        </is>
      </c>
      <c r="W23">
        <f>HYPERLINK("https://klasma.github.io/Logging_0586/artfynd/A 50403-2022 artfynd.xlsx", "A 50403-2022")</f>
        <v/>
      </c>
      <c r="X23">
        <f>HYPERLINK("https://klasma.github.io/Logging_0586/kartor/A 50403-2022 karta.png", "A 50403-2022")</f>
        <v/>
      </c>
      <c r="Y23">
        <f>HYPERLINK("https://klasma.github.io/Logging_0586/kartor_geotiff/A 50403-2022 georefererad karta.tif", "A 50403-2022")</f>
        <v/>
      </c>
      <c r="AA23">
        <f>HYPERLINK("https://klasma.github.io/Logging_0586/klagomål/A 50403-2022 FSC-klagomål.docx", "A 50403-2022")</f>
        <v/>
      </c>
      <c r="AB23">
        <f>HYPERLINK("https://klasma.github.io/Logging_0586/klagomålsmail/A 50403-2022 FSC-klagomål mail.docx", "A 50403-2022")</f>
        <v/>
      </c>
      <c r="AC23">
        <f>HYPERLINK("https://klasma.github.io/Logging_0586/tillsyn/A 50403-2022 tillsynsbegäran.docx", "A 50403-2022")</f>
        <v/>
      </c>
      <c r="AD23">
        <f>HYPERLINK("https://klasma.github.io/Logging_0586/tillsynsmail/A 50403-2022 tillsynsbegäran mail.docx", "A 50403-2022")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46266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32573-2026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46266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HYPERLINK("https://klasma.github.io/Logging_0586/artfynd/A 32573-2026 artfynd.xlsx", "A 32573-2026")</f>
        <v/>
      </c>
      <c r="X25">
        <f>HYPERLINK("https://klasma.github.io/Logging_0586/kartor/A 32573-2026 karta.png", "A 32573-2026")</f>
        <v/>
      </c>
      <c r="Y25">
        <f>HYPERLINK("https://klasma.github.io/Logging_0586/kartor_geotiff/A 32573-2026 georefererad karta.tif", "A 32573-2026")</f>
        <v/>
      </c>
      <c r="AA25">
        <f>HYPERLINK("https://klasma.github.io/Logging_0586/klagomål/A 32573-2026 FSC-klagomål.docx", "A 32573-2026")</f>
        <v/>
      </c>
      <c r="AB25">
        <f>HYPERLINK("https://klasma.github.io/Logging_0586/klagomålsmail/A 32573-2026 FSC-klagomål mail.docx", "A 32573-2026")</f>
        <v/>
      </c>
      <c r="AC25">
        <f>HYPERLINK("https://klasma.github.io/Logging_0586/tillsyn/A 32573-2026 tillsynsbegäran.docx", "A 32573-2026")</f>
        <v/>
      </c>
      <c r="AD25">
        <f>HYPERLINK("https://klasma.github.io/Logging_0586/tillsynsmail/A 32573-2026 tillsynsbegäran mail.docx", "A 32573-2026")</f>
        <v/>
      </c>
    </row>
    <row r="26" ht="15" customHeight="1">
      <c r="A26" t="inlineStr">
        <is>
          <t>A 32554-2026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46266</v>
      </c>
      <c r="F26" t="inlineStr">
        <is>
          <t>ÖSTERGÖTLANDS LÄN</t>
        </is>
      </c>
      <c r="G26" t="inlineStr">
        <is>
          <t>MJÖLBY</t>
        </is>
      </c>
      <c r="H26" t="inlineStr">
        <is>
          <t>Övriga Aktiebolag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Purpurknipprot</t>
        </is>
      </c>
      <c r="W26">
        <f>HYPERLINK("https://klasma.github.io/Logging_0586/artfynd/A 32554-2026 artfynd.xlsx", "A 32554-2026")</f>
        <v/>
      </c>
      <c r="X26">
        <f>HYPERLINK("https://klasma.github.io/Logging_0586/kartor/A 32554-2026 karta.png", "A 32554-2026")</f>
        <v/>
      </c>
      <c r="Y26">
        <f>HYPERLINK("https://klasma.github.io/Logging_0586/kartor_geotiff/A 32554-2026 georefererad karta.tif", "A 32554-2026")</f>
        <v/>
      </c>
      <c r="AA26">
        <f>HYPERLINK("https://klasma.github.io/Logging_0586/klagomål/A 32554-2026 FSC-klagomål.docx", "A 32554-2026")</f>
        <v/>
      </c>
      <c r="AB26">
        <f>HYPERLINK("https://klasma.github.io/Logging_0586/klagomålsmail/A 32554-2026 FSC-klagomål mail.docx", "A 32554-2026")</f>
        <v/>
      </c>
      <c r="AC26">
        <f>HYPERLINK("https://klasma.github.io/Logging_0586/tillsyn/A 32554-2026 tillsynsbegäran.docx", "A 32554-2026")</f>
        <v/>
      </c>
      <c r="AD26">
        <f>HYPERLINK("https://klasma.github.io/Logging_0586/tillsynsmail/A 32554-2026 tillsynsbegäran mail.docx", "A 32554-2026")</f>
        <v/>
      </c>
    </row>
    <row r="27" ht="15" customHeight="1">
      <c r="A27" t="inlineStr">
        <is>
          <t>A 34869-2026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46255</v>
      </c>
      <c r="E27" s="1" t="n">
        <v>46266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Backsippa</t>
        </is>
      </c>
      <c r="W27">
        <f>HYPERLINK("https://klasma.github.io/Logging_0586/artfynd/A 34869-2026 artfynd.xlsx", "A 34869-2026")</f>
        <v/>
      </c>
      <c r="X27">
        <f>HYPERLINK("https://klasma.github.io/Logging_0586/kartor/A 34869-2026 karta.png", "A 34869-2026")</f>
        <v/>
      </c>
      <c r="Y27">
        <f>HYPERLINK("https://klasma.github.io/Logging_0586/kartor_geotiff/A 34869-2026 georefererad karta.tif", "A 34869-2026")</f>
        <v/>
      </c>
      <c r="AA27">
        <f>HYPERLINK("https://klasma.github.io/Logging_0586/klagomål/A 34869-2026 FSC-klagomål.docx", "A 34869-2026")</f>
        <v/>
      </c>
      <c r="AB27">
        <f>HYPERLINK("https://klasma.github.io/Logging_0586/klagomålsmail/A 34869-2026 FSC-klagomål mail.docx", "A 34869-2026")</f>
        <v/>
      </c>
      <c r="AC27">
        <f>HYPERLINK("https://klasma.github.io/Logging_0586/tillsyn/A 34869-2026 tillsynsbegäran.docx", "A 34869-2026")</f>
        <v/>
      </c>
      <c r="AD27">
        <f>HYPERLINK("https://klasma.github.io/Logging_0586/tillsynsmail/A 34869-2026 tillsynsbegäran mail.docx", "A 34869-2026")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46266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46266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46266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46266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46266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46266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46266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46266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46266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50901-2024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46266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46266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46266</v>
      </c>
      <c r="F39" t="inlineStr">
        <is>
          <t>ÖSTERGÖTLANDS LÄN</t>
        </is>
      </c>
      <c r="G39" t="inlineStr">
        <is>
          <t>MJÖLBY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46266</v>
      </c>
      <c r="F40" t="inlineStr">
        <is>
          <t>ÖSTERGÖTLANDS LÄN</t>
        </is>
      </c>
      <c r="G40" t="inlineStr">
        <is>
          <t>MJÖLBY</t>
        </is>
      </c>
      <c r="H40" t="inlineStr">
        <is>
          <t>Kyrkan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17707-2023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45037</v>
      </c>
      <c r="E41" s="1" t="n">
        <v>46266</v>
      </c>
      <c r="F41" t="inlineStr">
        <is>
          <t>ÖSTERGÖTLANDS LÄN</t>
        </is>
      </c>
      <c r="G41" t="inlineStr">
        <is>
          <t>MJÖLBY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46248-2024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45581</v>
      </c>
      <c r="E42" s="1" t="n">
        <v>46266</v>
      </c>
      <c r="F42" t="inlineStr">
        <is>
          <t>ÖSTERGÖTLANDS LÄN</t>
        </is>
      </c>
      <c r="G42" t="inlineStr">
        <is>
          <t>MJÖLBY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45152</v>
      </c>
      <c r="E43" s="1" t="n">
        <v>46266</v>
      </c>
      <c r="F43" t="inlineStr">
        <is>
          <t>ÖSTERGÖTLANDS LÄN</t>
        </is>
      </c>
      <c r="G43" t="inlineStr">
        <is>
          <t>MJÖLBY</t>
        </is>
      </c>
      <c r="H43" t="inlineStr">
        <is>
          <t>Allmännings- och besparingsskogar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50886-2024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46266</v>
      </c>
      <c r="F44" t="inlineStr">
        <is>
          <t>ÖSTERGÖTLANDS LÄN</t>
        </is>
      </c>
      <c r="G44" t="inlineStr">
        <is>
          <t>MJÖLBY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45009</v>
      </c>
      <c r="E45" s="1" t="n">
        <v>46266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61575-2023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45261</v>
      </c>
      <c r="E46" s="1" t="n">
        <v>46266</v>
      </c>
      <c r="F46" t="inlineStr">
        <is>
          <t>ÖSTERGÖTLANDS LÄN</t>
        </is>
      </c>
      <c r="G46" t="inlineStr">
        <is>
          <t>MJÖLBY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45526</v>
      </c>
      <c r="E47" s="1" t="n">
        <v>46266</v>
      </c>
      <c r="F47" t="inlineStr">
        <is>
          <t>ÖSTERGÖTLANDS LÄN</t>
        </is>
      </c>
      <c r="G47" t="inlineStr">
        <is>
          <t>MJÖLBY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46266</v>
      </c>
      <c r="F48" t="inlineStr">
        <is>
          <t>ÖSTERGÖTLANDS LÄN</t>
        </is>
      </c>
      <c r="G48" t="inlineStr">
        <is>
          <t>MJÖLBY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46266</v>
      </c>
      <c r="F49" t="inlineStr">
        <is>
          <t>ÖSTERGÖTLANDS LÄN</t>
        </is>
      </c>
      <c r="G49" t="inlineStr">
        <is>
          <t>MJÖLBY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46266</v>
      </c>
      <c r="F50" t="inlineStr">
        <is>
          <t>ÖSTERGÖTLANDS LÄN</t>
        </is>
      </c>
      <c r="G50" t="inlineStr">
        <is>
          <t>MJÖLBY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46266</v>
      </c>
      <c r="F51" t="inlineStr">
        <is>
          <t>ÖSTERGÖTLANDS LÄN</t>
        </is>
      </c>
      <c r="G51" t="inlineStr">
        <is>
          <t>MJÖLBY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38278-2024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45545</v>
      </c>
      <c r="E52" s="1" t="n">
        <v>46266</v>
      </c>
      <c r="F52" t="inlineStr">
        <is>
          <t>ÖSTERGÖTLANDS LÄN</t>
        </is>
      </c>
      <c r="G52" t="inlineStr">
        <is>
          <t>MJÖLBY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46266</v>
      </c>
      <c r="F53" t="inlineStr">
        <is>
          <t>ÖSTERGÖTLANDS LÄN</t>
        </is>
      </c>
      <c r="G53" t="inlineStr">
        <is>
          <t>MJÖLBY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57284-2024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46266</v>
      </c>
      <c r="F54" t="inlineStr">
        <is>
          <t>ÖSTERGÖTLANDS LÄN</t>
        </is>
      </c>
      <c r="G54" t="inlineStr">
        <is>
          <t>MJÖLBY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46266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16304-2024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45407</v>
      </c>
      <c r="E56" s="1" t="n">
        <v>46266</v>
      </c>
      <c r="F56" t="inlineStr">
        <is>
          <t>ÖSTERGÖTLANDS LÄN</t>
        </is>
      </c>
      <c r="G56" t="inlineStr">
        <is>
          <t>MJÖLBY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46266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43012-2024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45567</v>
      </c>
      <c r="E58" s="1" t="n">
        <v>46266</v>
      </c>
      <c r="F58" t="inlineStr">
        <is>
          <t>ÖSTERGÖTLANDS LÄN</t>
        </is>
      </c>
      <c r="G58" t="inlineStr">
        <is>
          <t>MJÖLBY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46266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46266</v>
      </c>
      <c r="F60" t="inlineStr">
        <is>
          <t>ÖSTERGÖTLANDS LÄN</t>
        </is>
      </c>
      <c r="G60" t="inlineStr">
        <is>
          <t>MJÖLBY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46266</v>
      </c>
      <c r="F61" t="inlineStr">
        <is>
          <t>ÖSTERGÖTLANDS LÄN</t>
        </is>
      </c>
      <c r="G61" t="inlineStr">
        <is>
          <t>MJÖLBY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46266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46266</v>
      </c>
      <c r="F63" t="inlineStr">
        <is>
          <t>ÖSTERGÖTLANDS LÄN</t>
        </is>
      </c>
      <c r="G63" t="inlineStr">
        <is>
          <t>MJÖLBY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46266</v>
      </c>
      <c r="F64" t="inlineStr">
        <is>
          <t>ÖSTERGÖTLANDS LÄN</t>
        </is>
      </c>
      <c r="G64" t="inlineStr">
        <is>
          <t>MJÖLBY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46266</v>
      </c>
      <c r="F65" t="inlineStr">
        <is>
          <t>ÖSTERGÖTLANDS LÄN</t>
        </is>
      </c>
      <c r="G65" t="inlineStr">
        <is>
          <t>MJÖLBY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46266</v>
      </c>
      <c r="F66" t="inlineStr">
        <is>
          <t>ÖSTERGÖTLANDS LÄN</t>
        </is>
      </c>
      <c r="G66" t="inlineStr">
        <is>
          <t>MJÖLBY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64930-2023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46266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27232-2025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45812</v>
      </c>
      <c r="E68" s="1" t="n">
        <v>46266</v>
      </c>
      <c r="F68" t="inlineStr">
        <is>
          <t>ÖSTERGÖTLANDS LÄN</t>
        </is>
      </c>
      <c r="G68" t="inlineStr">
        <is>
          <t>MJÖLBY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46266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46266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46266</v>
      </c>
      <c r="F71" t="inlineStr">
        <is>
          <t>ÖSTERGÖTLANDS LÄN</t>
        </is>
      </c>
      <c r="G71" t="inlineStr">
        <is>
          <t>MJÖLBY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45819</v>
      </c>
      <c r="E72" s="1" t="n">
        <v>46266</v>
      </c>
      <c r="F72" t="inlineStr">
        <is>
          <t>ÖSTERGÖTLANDS LÄN</t>
        </is>
      </c>
      <c r="G72" t="inlineStr">
        <is>
          <t>MJÖLBY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46266</v>
      </c>
      <c r="F73" t="inlineStr">
        <is>
          <t>ÖSTERGÖTLANDS LÄN</t>
        </is>
      </c>
      <c r="G73" t="inlineStr">
        <is>
          <t>MJÖLBY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38299-2023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46266</v>
      </c>
      <c r="F74" t="inlineStr">
        <is>
          <t>ÖSTERGÖTLANDS LÄN</t>
        </is>
      </c>
      <c r="G74" t="inlineStr">
        <is>
          <t>MJÖLBY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46266</v>
      </c>
      <c r="F75" t="inlineStr">
        <is>
          <t>ÖSTERGÖTLANDS LÄN</t>
        </is>
      </c>
      <c r="G75" t="inlineStr">
        <is>
          <t>MJÖLBY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46266</v>
      </c>
      <c r="F76" t="inlineStr">
        <is>
          <t>ÖSTERGÖTLANDS LÄN</t>
        </is>
      </c>
      <c r="G76" t="inlineStr">
        <is>
          <t>MJÖLBY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46266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46266</v>
      </c>
      <c r="F78" t="inlineStr">
        <is>
          <t>ÖSTERGÖTLANDS LÄN</t>
        </is>
      </c>
      <c r="G78" t="inlineStr">
        <is>
          <t>MJÖLBY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31623-2025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46266</v>
      </c>
      <c r="F79" t="inlineStr">
        <is>
          <t>ÖSTERGÖTLANDS LÄN</t>
        </is>
      </c>
      <c r="G79" t="inlineStr">
        <is>
          <t>MJÖLBY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45170</v>
      </c>
      <c r="E80" s="1" t="n">
        <v>46266</v>
      </c>
      <c r="F80" t="inlineStr">
        <is>
          <t>ÖSTERGÖTLANDS LÄN</t>
        </is>
      </c>
      <c r="G80" t="inlineStr">
        <is>
          <t>MJÖLBY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46266</v>
      </c>
      <c r="F81" t="inlineStr">
        <is>
          <t>ÖSTERGÖTLANDS LÄN</t>
        </is>
      </c>
      <c r="G81" t="inlineStr">
        <is>
          <t>MJÖLBY</t>
        </is>
      </c>
      <c r="H81" t="inlineStr">
        <is>
          <t>Kyrkan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46266</v>
      </c>
      <c r="F82" t="inlineStr">
        <is>
          <t>ÖSTERGÖTLANDS LÄN</t>
        </is>
      </c>
      <c r="G82" t="inlineStr">
        <is>
          <t>MJÖLBY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46266</v>
      </c>
      <c r="F83" t="inlineStr">
        <is>
          <t>ÖSTERGÖTLANDS LÄN</t>
        </is>
      </c>
      <c r="G83" t="inlineStr">
        <is>
          <t>MJÖLBY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46266</v>
      </c>
      <c r="F84" t="inlineStr">
        <is>
          <t>ÖSTERGÖTLANDS LÄN</t>
        </is>
      </c>
      <c r="G84" t="inlineStr">
        <is>
          <t>MJÖLBY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46266</v>
      </c>
      <c r="F85" t="inlineStr">
        <is>
          <t>ÖSTERGÖTLANDS LÄN</t>
        </is>
      </c>
      <c r="G85" t="inlineStr">
        <is>
          <t>MJÖLBY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37806-2022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46266</v>
      </c>
      <c r="F86" t="inlineStr">
        <is>
          <t>ÖSTERGÖTLANDS LÄN</t>
        </is>
      </c>
      <c r="G86" t="inlineStr">
        <is>
          <t>MJÖLBY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50179-2023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46266</v>
      </c>
      <c r="F87" t="inlineStr">
        <is>
          <t>ÖSTERGÖTLANDS LÄN</t>
        </is>
      </c>
      <c r="G87" t="inlineStr">
        <is>
          <t>MJÖLBY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45221</v>
      </c>
      <c r="E88" s="1" t="n">
        <v>46266</v>
      </c>
      <c r="F88" t="inlineStr">
        <is>
          <t>ÖSTERGÖTLANDS LÄN</t>
        </is>
      </c>
      <c r="G88" t="inlineStr">
        <is>
          <t>MJÖLBY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37802-2022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46266</v>
      </c>
      <c r="F89" t="inlineStr">
        <is>
          <t>ÖSTERGÖTLANDS LÄN</t>
        </is>
      </c>
      <c r="G89" t="inlineStr">
        <is>
          <t>MJÖLBY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44971</v>
      </c>
      <c r="E90" s="1" t="n">
        <v>46266</v>
      </c>
      <c r="F90" t="inlineStr">
        <is>
          <t>ÖSTERGÖTLANDS LÄN</t>
        </is>
      </c>
      <c r="G90" t="inlineStr">
        <is>
          <t>MJÖLBY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58412-2023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45250</v>
      </c>
      <c r="E91" s="1" t="n">
        <v>46266</v>
      </c>
      <c r="F91" t="inlineStr">
        <is>
          <t>ÖSTERGÖTLANDS LÄN</t>
        </is>
      </c>
      <c r="G91" t="inlineStr">
        <is>
          <t>MJÖLBY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63449-2023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45273</v>
      </c>
      <c r="E92" s="1" t="n">
        <v>46266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45882</v>
      </c>
      <c r="E93" s="1" t="n">
        <v>46266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44769-2025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46266</v>
      </c>
      <c r="F94" t="inlineStr">
        <is>
          <t>ÖSTERGÖTLANDS LÄN</t>
        </is>
      </c>
      <c r="G94" t="inlineStr">
        <is>
          <t>MJÖLBY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44770-2025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46266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46266</v>
      </c>
      <c r="F96" t="inlineStr">
        <is>
          <t>ÖSTERGÖTLANDS LÄN</t>
        </is>
      </c>
      <c r="G96" t="inlineStr">
        <is>
          <t>MJÖLBY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46266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46266</v>
      </c>
      <c r="F98" t="inlineStr">
        <is>
          <t>ÖSTERGÖTLANDS LÄN</t>
        </is>
      </c>
      <c r="G98" t="inlineStr">
        <is>
          <t>MJÖLBY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45979</v>
      </c>
      <c r="E99" s="1" t="n">
        <v>46266</v>
      </c>
      <c r="F99" t="inlineStr">
        <is>
          <t>ÖSTERGÖTLANDS LÄN</t>
        </is>
      </c>
      <c r="G99" t="inlineStr">
        <is>
          <t>MJÖLBY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65921-2021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46266</v>
      </c>
      <c r="F100" t="inlineStr">
        <is>
          <t>ÖSTERGÖTLANDS LÄN</t>
        </is>
      </c>
      <c r="G100" t="inlineStr">
        <is>
          <t>MJÖLBY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46266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44473</v>
      </c>
      <c r="E102" s="1" t="n">
        <v>46266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46266</v>
      </c>
      <c r="F103" t="inlineStr">
        <is>
          <t>ÖSTERGÖTLANDS LÄN</t>
        </is>
      </c>
      <c r="G103" t="inlineStr">
        <is>
          <t>MJÖLBY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46266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46266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46266</v>
      </c>
      <c r="F106" t="inlineStr">
        <is>
          <t>ÖSTERGÖTLANDS LÄN</t>
        </is>
      </c>
      <c r="G106" t="inlineStr">
        <is>
          <t>MJÖLBY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46266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46266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46266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44936</v>
      </c>
      <c r="E110" s="1" t="n">
        <v>46266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46266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46266</v>
      </c>
      <c r="F112" t="inlineStr">
        <is>
          <t>ÖSTERGÖTLANDS LÄN</t>
        </is>
      </c>
      <c r="G112" t="inlineStr">
        <is>
          <t>MJÖLBY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46006</v>
      </c>
      <c r="E113" s="1" t="n">
        <v>46266</v>
      </c>
      <c r="F113" t="inlineStr">
        <is>
          <t>ÖSTERGÖTLANDS LÄN</t>
        </is>
      </c>
      <c r="G113" t="inlineStr">
        <is>
          <t>MJÖLBY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46266</v>
      </c>
      <c r="F114" t="inlineStr">
        <is>
          <t>ÖSTERGÖTLANDS LÄN</t>
        </is>
      </c>
      <c r="G114" t="inlineStr">
        <is>
          <t>MJÖLBY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46266</v>
      </c>
      <c r="F115" t="inlineStr">
        <is>
          <t>ÖSTERGÖTLANDS LÄN</t>
        </is>
      </c>
      <c r="G115" t="inlineStr">
        <is>
          <t>MJÖLBY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46266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46266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45376</v>
      </c>
      <c r="E118" s="1" t="n">
        <v>46266</v>
      </c>
      <c r="F118" t="inlineStr">
        <is>
          <t>ÖSTERGÖTLANDS LÄN</t>
        </is>
      </c>
      <c r="G118" t="inlineStr">
        <is>
          <t>MJÖLBY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46266</v>
      </c>
      <c r="F119" t="inlineStr">
        <is>
          <t>ÖSTERGÖTLANDS LÄN</t>
        </is>
      </c>
      <c r="G119" t="inlineStr">
        <is>
          <t>MJÖLBY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44904</v>
      </c>
      <c r="E120" s="1" t="n">
        <v>46266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44580</v>
      </c>
      <c r="E121" s="1" t="n">
        <v>46266</v>
      </c>
      <c r="F121" t="inlineStr">
        <is>
          <t>ÖSTERGÖTLANDS LÄN</t>
        </is>
      </c>
      <c r="G121" t="inlineStr">
        <is>
          <t>MJÖLBY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45301</v>
      </c>
      <c r="E122" s="1" t="n">
        <v>46266</v>
      </c>
      <c r="F122" t="inlineStr">
        <is>
          <t>ÖSTERGÖTLANDS LÄN</t>
        </is>
      </c>
      <c r="G122" t="inlineStr">
        <is>
          <t>MJÖLBY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46266</v>
      </c>
      <c r="F123" t="inlineStr">
        <is>
          <t>ÖSTERGÖTLANDS LÄN</t>
        </is>
      </c>
      <c r="G123" t="inlineStr">
        <is>
          <t>MJÖLBY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45269</v>
      </c>
      <c r="E124" s="1" t="n">
        <v>46266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46266</v>
      </c>
      <c r="F125" t="inlineStr">
        <is>
          <t>ÖSTERGÖTLANDS LÄN</t>
        </is>
      </c>
      <c r="G125" t="inlineStr">
        <is>
          <t>MJÖLBY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46266</v>
      </c>
      <c r="F126" t="inlineStr">
        <is>
          <t>ÖSTERGÖTLANDS LÄN</t>
        </is>
      </c>
      <c r="G126" t="inlineStr">
        <is>
          <t>MJÖLBY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46266</v>
      </c>
      <c r="F127" t="inlineStr">
        <is>
          <t>ÖSTERGÖTLANDS LÄN</t>
        </is>
      </c>
      <c r="G127" t="inlineStr">
        <is>
          <t>MJÖLBY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46266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46266</v>
      </c>
      <c r="F129" t="inlineStr">
        <is>
          <t>ÖSTERGÖTLANDS LÄN</t>
        </is>
      </c>
      <c r="G129" t="inlineStr">
        <is>
          <t>MJÖLBY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4314-2024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45324</v>
      </c>
      <c r="E130" s="1" t="n">
        <v>46266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Kyrkan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46266</v>
      </c>
      <c r="F131" t="inlineStr">
        <is>
          <t>ÖSTERGÖTLANDS LÄN</t>
        </is>
      </c>
      <c r="G131" t="inlineStr">
        <is>
          <t>MJÖLBY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46266</v>
      </c>
      <c r="F132" t="inlineStr">
        <is>
          <t>ÖSTERGÖTLANDS LÄN</t>
        </is>
      </c>
      <c r="G132" t="inlineStr">
        <is>
          <t>MJÖLBY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45176</v>
      </c>
      <c r="E133" s="1" t="n">
        <v>46266</v>
      </c>
      <c r="F133" t="inlineStr">
        <is>
          <t>ÖSTERGÖTLANDS LÄN</t>
        </is>
      </c>
      <c r="G133" t="inlineStr">
        <is>
          <t>MJÖLBY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58415-2021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44488</v>
      </c>
      <c r="E134" s="1" t="n">
        <v>46266</v>
      </c>
      <c r="F134" t="inlineStr">
        <is>
          <t>ÖSTERGÖTLANDS LÄN</t>
        </is>
      </c>
      <c r="G134" t="inlineStr">
        <is>
          <t>MJÖLBY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46266</v>
      </c>
      <c r="F135" t="inlineStr">
        <is>
          <t>ÖSTERGÖTLANDS LÄN</t>
        </is>
      </c>
      <c r="G135" t="inlineStr">
        <is>
          <t>MJÖLBY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45446</v>
      </c>
      <c r="E136" s="1" t="n">
        <v>46266</v>
      </c>
      <c r="F136" t="inlineStr">
        <is>
          <t>ÖSTERGÖTLANDS LÄN</t>
        </is>
      </c>
      <c r="G136" t="inlineStr">
        <is>
          <t>MJÖLBY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46266</v>
      </c>
      <c r="F137" t="inlineStr">
        <is>
          <t>ÖSTERGÖTLANDS LÄN</t>
        </is>
      </c>
      <c r="G137" t="inlineStr">
        <is>
          <t>MJÖLBY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46266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Kommuner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46104</v>
      </c>
      <c r="E139" s="1" t="n">
        <v>46266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46104</v>
      </c>
      <c r="E140" s="1" t="n">
        <v>46266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46266</v>
      </c>
      <c r="F141" t="inlineStr">
        <is>
          <t>ÖSTERGÖTLANDS LÄN</t>
        </is>
      </c>
      <c r="G141" t="inlineStr">
        <is>
          <t>MJÖLBY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46266</v>
      </c>
      <c r="F142" t="inlineStr">
        <is>
          <t>ÖSTERGÖTLANDS LÄN</t>
        </is>
      </c>
      <c r="G142" t="inlineStr">
        <is>
          <t>MJÖLBY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46108</v>
      </c>
      <c r="E143" s="1" t="n">
        <v>46266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46266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46266</v>
      </c>
      <c r="F145" t="inlineStr">
        <is>
          <t>ÖSTERGÖTLANDS LÄN</t>
        </is>
      </c>
      <c r="G145" t="inlineStr">
        <is>
          <t>MJÖLBY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46266</v>
      </c>
      <c r="F146" t="inlineStr">
        <is>
          <t>ÖSTERGÖTLANDS LÄN</t>
        </is>
      </c>
      <c r="G146" t="inlineStr">
        <is>
          <t>MJÖLBY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18517-2026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46266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45177</v>
      </c>
      <c r="E148" s="1" t="n">
        <v>46266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46266</v>
      </c>
      <c r="F149" t="inlineStr">
        <is>
          <t>ÖSTERGÖTLANDS LÄN</t>
        </is>
      </c>
      <c r="G149" t="inlineStr">
        <is>
          <t>MJÖLBY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46266</v>
      </c>
      <c r="F150" t="inlineStr">
        <is>
          <t>ÖSTERGÖTLANDS LÄN</t>
        </is>
      </c>
      <c r="G150" t="inlineStr">
        <is>
          <t>MJÖLBY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46266</v>
      </c>
      <c r="F151" t="inlineStr">
        <is>
          <t>ÖSTERGÖTLANDS LÄN</t>
        </is>
      </c>
      <c r="G151" t="inlineStr">
        <is>
          <t>MJÖLBY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45673</v>
      </c>
      <c r="E152" s="1" t="n">
        <v>46266</v>
      </c>
      <c r="F152" t="inlineStr">
        <is>
          <t>ÖSTERGÖTLANDS LÄN</t>
        </is>
      </c>
      <c r="G152" t="inlineStr">
        <is>
          <t>MJÖLBY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46266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59410-2022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44907</v>
      </c>
      <c r="E154" s="1" t="n">
        <v>46266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59411-2022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44907</v>
      </c>
      <c r="E155" s="1" t="n">
        <v>46266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46266</v>
      </c>
      <c r="F156" t="inlineStr">
        <is>
          <t>ÖSTERGÖTLANDS LÄN</t>
        </is>
      </c>
      <c r="G156" t="inlineStr">
        <is>
          <t>MJÖLBY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46266</v>
      </c>
      <c r="F157" t="inlineStr">
        <is>
          <t>ÖSTERGÖTLANDS LÄN</t>
        </is>
      </c>
      <c r="G157" t="inlineStr">
        <is>
          <t>MJÖLBY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45892</v>
      </c>
      <c r="E158" s="1" t="n">
        <v>46266</v>
      </c>
      <c r="F158" t="inlineStr">
        <is>
          <t>ÖSTERGÖTLANDS LÄN</t>
        </is>
      </c>
      <c r="G158" t="inlineStr">
        <is>
          <t>MJÖLBY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28321-2025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46266</v>
      </c>
      <c r="F159" t="inlineStr">
        <is>
          <t>ÖSTERGÖTLANDS LÄN</t>
        </is>
      </c>
      <c r="G159" t="inlineStr">
        <is>
          <t>MJÖLBY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45525</v>
      </c>
      <c r="E160" s="1" t="n">
        <v>46266</v>
      </c>
      <c r="F160" t="inlineStr">
        <is>
          <t>ÖSTERGÖTLANDS LÄN</t>
        </is>
      </c>
      <c r="G160" t="inlineStr">
        <is>
          <t>MJÖLBY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46266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44613</v>
      </c>
      <c r="E162" s="1" t="n">
        <v>46266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45217</v>
      </c>
      <c r="E163" s="1" t="n">
        <v>46266</v>
      </c>
      <c r="F163" t="inlineStr">
        <is>
          <t>ÖSTERGÖTLANDS LÄN</t>
        </is>
      </c>
      <c r="G163" t="inlineStr">
        <is>
          <t>MJÖLBY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46266</v>
      </c>
      <c r="F164" t="inlineStr">
        <is>
          <t>ÖSTERGÖTLANDS LÄN</t>
        </is>
      </c>
      <c r="G164" t="inlineStr">
        <is>
          <t>MJÖLBY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44768</v>
      </c>
      <c r="E165" s="1" t="n">
        <v>46266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45261</v>
      </c>
      <c r="E166" s="1" t="n">
        <v>46266</v>
      </c>
      <c r="F166" t="inlineStr">
        <is>
          <t>ÖSTERGÖTLANDS LÄN</t>
        </is>
      </c>
      <c r="G166" t="inlineStr">
        <is>
          <t>MJÖLBY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46266</v>
      </c>
      <c r="F167" t="inlineStr">
        <is>
          <t>ÖSTERGÖTLANDS LÄN</t>
        </is>
      </c>
      <c r="G167" t="inlineStr">
        <is>
          <t>MJÖLBY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46266</v>
      </c>
      <c r="F168" t="inlineStr">
        <is>
          <t>ÖSTERGÖTLANDS LÄN</t>
        </is>
      </c>
      <c r="G168" t="inlineStr">
        <is>
          <t>MJÖLBY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46007</v>
      </c>
      <c r="E169" s="1" t="n">
        <v>46266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Kommuner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52655-2023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45225</v>
      </c>
      <c r="E170" s="1" t="n">
        <v>46266</v>
      </c>
      <c r="F170" t="inlineStr">
        <is>
          <t>ÖSTERGÖTLANDS LÄN</t>
        </is>
      </c>
      <c r="G170" t="inlineStr">
        <is>
          <t>MJÖLBY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46266</v>
      </c>
      <c r="F171" t="inlineStr">
        <is>
          <t>ÖSTERGÖTLANDS LÄN</t>
        </is>
      </c>
      <c r="G171" t="inlineStr">
        <is>
          <t>MJÖLBY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46266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46266</v>
      </c>
      <c r="F173" t="inlineStr">
        <is>
          <t>ÖSTERGÖTLANDS LÄN</t>
        </is>
      </c>
      <c r="G173" t="inlineStr">
        <is>
          <t>MJÖLBY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46266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46266</v>
      </c>
      <c r="F175" t="inlineStr">
        <is>
          <t>ÖSTERGÖTLANDS LÄN</t>
        </is>
      </c>
      <c r="G175" t="inlineStr">
        <is>
          <t>MJÖLBY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68095-2021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46266</v>
      </c>
      <c r="F176" t="inlineStr">
        <is>
          <t>ÖSTERGÖTLANDS LÄN</t>
        </is>
      </c>
      <c r="G176" t="inlineStr">
        <is>
          <t>MJÖLBY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46266</v>
      </c>
      <c r="F177" t="inlineStr">
        <is>
          <t>ÖSTERGÖTLANDS LÄN</t>
        </is>
      </c>
      <c r="G177" t="inlineStr">
        <is>
          <t>MJÖLBY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58800-2022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44903</v>
      </c>
      <c r="E178" s="1" t="n">
        <v>46266</v>
      </c>
      <c r="F178" t="inlineStr">
        <is>
          <t>ÖSTERGÖTLANDS LÄN</t>
        </is>
      </c>
      <c r="G178" t="inlineStr">
        <is>
          <t>MJÖLBY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44957</v>
      </c>
      <c r="E179" s="1" t="n">
        <v>46266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46266</v>
      </c>
      <c r="F180" t="inlineStr">
        <is>
          <t>ÖSTERGÖTLANDS LÄN</t>
        </is>
      </c>
      <c r="G180" t="inlineStr">
        <is>
          <t>MJÖLBY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51630-2021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44462</v>
      </c>
      <c r="E181" s="1" t="n">
        <v>46266</v>
      </c>
      <c r="F181" t="inlineStr">
        <is>
          <t>ÖSTERGÖTLANDS LÄN</t>
        </is>
      </c>
      <c r="G181" t="inlineStr">
        <is>
          <t>MJÖLBY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45401</v>
      </c>
      <c r="E182" s="1" t="n">
        <v>46266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46266</v>
      </c>
      <c r="F183" t="inlineStr">
        <is>
          <t>ÖSTERGÖTLANDS LÄN</t>
        </is>
      </c>
      <c r="G183" t="inlineStr">
        <is>
          <t>MJÖLBY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46266</v>
      </c>
      <c r="F184" t="inlineStr">
        <is>
          <t>ÖSTERGÖTLANDS LÄN</t>
        </is>
      </c>
      <c r="G184" t="inlineStr">
        <is>
          <t>MJÖLBY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46266</v>
      </c>
      <c r="F185" t="inlineStr">
        <is>
          <t>ÖSTERGÖTLANDS LÄN</t>
        </is>
      </c>
      <c r="G185" t="inlineStr">
        <is>
          <t>MJÖLBY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46168</v>
      </c>
      <c r="E186" s="1" t="n">
        <v>46266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45342</v>
      </c>
      <c r="E187" s="1" t="n">
        <v>46266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46266</v>
      </c>
      <c r="F188" t="inlineStr">
        <is>
          <t>ÖSTERGÖTLANDS LÄN</t>
        </is>
      </c>
      <c r="G188" t="inlineStr">
        <is>
          <t>MJÖLBY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46266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46266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46266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46266</v>
      </c>
      <c r="F192" t="inlineStr">
        <is>
          <t>ÖSTERGÖTLANDS LÄN</t>
        </is>
      </c>
      <c r="G192" t="inlineStr">
        <is>
          <t>MJÖLBY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46266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46266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46266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46266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24903-2026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46174</v>
      </c>
      <c r="E197" s="1" t="n">
        <v>46266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46266</v>
      </c>
      <c r="F198" t="inlineStr">
        <is>
          <t>ÖSTERGÖTLANDS LÄN</t>
        </is>
      </c>
      <c r="G198" t="inlineStr">
        <is>
          <t>MJÖLBY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46266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46266</v>
      </c>
      <c r="F200" t="inlineStr">
        <is>
          <t>ÖSTERGÖTLANDS LÄN</t>
        </is>
      </c>
      <c r="G200" t="inlineStr">
        <is>
          <t>MJÖLBY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46266</v>
      </c>
      <c r="F201" t="inlineStr">
        <is>
          <t>ÖSTERGÖTLANDS LÄN</t>
        </is>
      </c>
      <c r="G201" t="inlineStr">
        <is>
          <t>MJÖLBY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44546</v>
      </c>
      <c r="E202" s="1" t="n">
        <v>46266</v>
      </c>
      <c r="F202" t="inlineStr">
        <is>
          <t>ÖSTERGÖTLANDS LÄN</t>
        </is>
      </c>
      <c r="G202" t="inlineStr">
        <is>
          <t>MJÖLBY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46266</v>
      </c>
      <c r="F203" t="inlineStr">
        <is>
          <t>ÖSTERGÖTLANDS LÄN</t>
        </is>
      </c>
      <c r="G203" t="inlineStr">
        <is>
          <t>MJÖLBY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79-2024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45293</v>
      </c>
      <c r="E204" s="1" t="n">
        <v>46266</v>
      </c>
      <c r="F204" t="inlineStr">
        <is>
          <t>ÖSTERGÖTLANDS LÄN</t>
        </is>
      </c>
      <c r="G204" t="inlineStr">
        <is>
          <t>MJÖLBY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27126-2026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46188</v>
      </c>
      <c r="E205" s="1" t="n">
        <v>46266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46266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46232</v>
      </c>
      <c r="E207" s="1" t="n">
        <v>46266</v>
      </c>
      <c r="F207" t="inlineStr">
        <is>
          <t>ÖSTERGÖTLANDS LÄN</t>
        </is>
      </c>
      <c r="G207" t="inlineStr">
        <is>
          <t>MJÖLBY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46232</v>
      </c>
      <c r="E208" s="1" t="n">
        <v>46266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46266</v>
      </c>
      <c r="F209" t="inlineStr">
        <is>
          <t>ÖSTERGÖTLANDS LÄN</t>
        </is>
      </c>
      <c r="G209" t="inlineStr">
        <is>
          <t>MJÖLBY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32558-2026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46239</v>
      </c>
      <c r="E210" s="1" t="n">
        <v>46266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46237</v>
      </c>
      <c r="E211" s="1" t="n">
        <v>46266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46266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46266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46266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46266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46266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46197</v>
      </c>
      <c r="E217" s="1" t="n">
        <v>46266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46266</v>
      </c>
      <c r="F218" t="inlineStr">
        <is>
          <t>ÖSTERGÖTLANDS LÄN</t>
        </is>
      </c>
      <c r="G218" t="inlineStr">
        <is>
          <t>MJÖLBY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46266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46253</v>
      </c>
      <c r="E220" s="1" t="n">
        <v>46266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46266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Övriga Aktiebolag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46266</v>
      </c>
      <c r="F222" t="inlineStr">
        <is>
          <t>ÖSTERGÖTLANDS LÄN</t>
        </is>
      </c>
      <c r="G222" t="inlineStr">
        <is>
          <t>MJÖLBY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46216</v>
      </c>
      <c r="E223" s="1" t="n">
        <v>46266</v>
      </c>
      <c r="F223" t="inlineStr">
        <is>
          <t>ÖSTERGÖTLANDS LÄN</t>
        </is>
      </c>
      <c r="G223" t="inlineStr">
        <is>
          <t>MJÖLBY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34794-2026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46258</v>
      </c>
      <c r="E224" s="1" t="n">
        <v>46266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46266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46258</v>
      </c>
      <c r="E226" s="1" t="n">
        <v>46266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Övriga Aktiebolag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46217</v>
      </c>
      <c r="E227" s="1" t="n">
        <v>46266</v>
      </c>
      <c r="F227" t="inlineStr">
        <is>
          <t>ÖSTERGÖTLANDS LÄN</t>
        </is>
      </c>
      <c r="G227" t="inlineStr">
        <is>
          <t>MJÖLBY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46217</v>
      </c>
      <c r="E228" s="1" t="n">
        <v>46266</v>
      </c>
      <c r="F228" t="inlineStr">
        <is>
          <t>ÖSTERGÖTLANDS LÄN</t>
        </is>
      </c>
      <c r="G228" t="inlineStr">
        <is>
          <t>MJÖLBY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46266</v>
      </c>
      <c r="F229" t="inlineStr">
        <is>
          <t>ÖSTERGÖTLANDS LÄN</t>
        </is>
      </c>
      <c r="G229" t="inlineStr">
        <is>
          <t>MJÖLBY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46266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2026-09-01T02:06:58Z</dcterms:created>
  <dcterms:modified xmlns:dcterms="http://purl.org/dc/terms/" xmlns:xsi="http://www.w3.org/2001/XMLSchema-instance" xsi:type="dcterms:W3CDTF">2026-09-01T02:06:58Z</dcterms:modified>
</cp:coreProperties>
</file>