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46241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46241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46241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46241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46241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46241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46241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46241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46241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46241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51642-2021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44462</v>
      </c>
      <c r="E12" s="1" t="n">
        <v>46241</v>
      </c>
      <c r="F12" t="inlineStr">
        <is>
          <t>ÖSTERGÖTLANDS LÄN</t>
        </is>
      </c>
      <c r="G12" t="inlineStr">
        <is>
          <t>MJÖLBY</t>
        </is>
      </c>
      <c r="I12" t="n">
        <v>2.9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Vårstarr</t>
        </is>
      </c>
      <c r="W12">
        <f>HYPERLINK("https://klasma.github.io/Logging_0586/artfynd/A 51642-2021 artfynd.xlsx", "A 51642-2021")</f>
        <v/>
      </c>
      <c r="X12">
        <f>HYPERLINK("https://klasma.github.io/Logging_0586/kartor/A 51642-2021 karta.png", "A 51642-2021")</f>
        <v/>
      </c>
      <c r="Y12">
        <f>HYPERLINK("https://klasma.github.io/Logging_0586/kartor_geotiff/A 51642-2021 georefererad karta.tif", "A 51642-2021")</f>
        <v/>
      </c>
      <c r="AA12">
        <f>HYPERLINK("https://klasma.github.io/Logging_0586/klagomål/A 51642-2021 FSC-klagomål.docx", "A 51642-2021")</f>
        <v/>
      </c>
      <c r="AB12">
        <f>HYPERLINK("https://klasma.github.io/Logging_0586/klagomålsmail/A 51642-2021 FSC-klagomål mail.docx", "A 51642-2021")</f>
        <v/>
      </c>
      <c r="AC12">
        <f>HYPERLINK("https://klasma.github.io/Logging_0586/tillsyn/A 51642-2021 tillsynsbegäran.docx", "A 51642-2021")</f>
        <v/>
      </c>
      <c r="AD12">
        <f>HYPERLINK("https://klasma.github.io/Logging_0586/tillsynsmail/A 51642-2021 tillsynsbegäran mail.docx", "A 51642-2021")</f>
        <v/>
      </c>
    </row>
    <row r="13" ht="15" customHeight="1">
      <c r="A13" t="inlineStr">
        <is>
          <t>A 44468-2021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44435</v>
      </c>
      <c r="E13" s="1" t="n">
        <v>46241</v>
      </c>
      <c r="F13" t="inlineStr">
        <is>
          <t>ÖSTERGÖTLANDS LÄN</t>
        </is>
      </c>
      <c r="G13" t="inlineStr">
        <is>
          <t>MJÖLBY</t>
        </is>
      </c>
      <c r="H13" t="inlineStr">
        <is>
          <t>Kommuner</t>
        </is>
      </c>
      <c r="I13" t="n">
        <v>3.5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HYPERLINK("https://klasma.github.io/Logging_0586/artfynd/A 44468-2021 artfynd.xlsx", "A 44468-2021")</f>
        <v/>
      </c>
      <c r="X13">
        <f>HYPERLINK("https://klasma.github.io/Logging_0586/kartor/A 44468-2021 karta.png", "A 44468-2021")</f>
        <v/>
      </c>
      <c r="Y13">
        <f>HYPERLINK("https://klasma.github.io/Logging_0586/kartor_geotiff/A 44468-2021 georefererad karta.tif", "A 44468-2021")</f>
        <v/>
      </c>
      <c r="AA13">
        <f>HYPERLINK("https://klasma.github.io/Logging_0586/klagomål/A 44468-2021 FSC-klagomål.docx", "A 44468-2021")</f>
        <v/>
      </c>
      <c r="AB13">
        <f>HYPERLINK("https://klasma.github.io/Logging_0586/klagomålsmail/A 44468-2021 FSC-klagomål mail.docx", "A 44468-2021")</f>
        <v/>
      </c>
      <c r="AC13">
        <f>HYPERLINK("https://klasma.github.io/Logging_0586/tillsyn/A 44468-2021 tillsynsbegäran.docx", "A 44468-2021")</f>
        <v/>
      </c>
      <c r="AD13">
        <f>HYPERLINK("https://klasma.github.io/Logging_0586/tillsynsmail/A 44468-2021 tillsynsbegäran mail.docx", "A 44468-2021")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46241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50403-2022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46241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2.4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1</v>
      </c>
      <c r="V15" s="2" t="inlineStr">
        <is>
          <t>Springkorn</t>
        </is>
      </c>
      <c r="W15">
        <f>HYPERLINK("https://klasma.github.io/Logging_0586/artfynd/A 50403-2022 artfynd.xlsx", "A 50403-2022")</f>
        <v/>
      </c>
      <c r="X15">
        <f>HYPERLINK("https://klasma.github.io/Logging_0586/kartor/A 50403-2022 karta.png", "A 50403-2022")</f>
        <v/>
      </c>
      <c r="Y15">
        <f>HYPERLINK("https://klasma.github.io/Logging_0586/kartor_geotiff/A 50403-2022 georefererad karta.tif", "A 50403-2022")</f>
        <v/>
      </c>
      <c r="AA15">
        <f>HYPERLINK("https://klasma.github.io/Logging_0586/klagomål/A 50403-2022 FSC-klagomål.docx", "A 50403-2022")</f>
        <v/>
      </c>
      <c r="AB15">
        <f>HYPERLINK("https://klasma.github.io/Logging_0586/klagomålsmail/A 50403-2022 FSC-klagomål mail.docx", "A 50403-2022")</f>
        <v/>
      </c>
      <c r="AC15">
        <f>HYPERLINK("https://klasma.github.io/Logging_0586/tillsyn/A 50403-2022 tillsynsbegäran.docx", "A 50403-2022")</f>
        <v/>
      </c>
      <c r="AD15">
        <f>HYPERLINK("https://klasma.github.io/Logging_0586/tillsynsmail/A 50403-2022 tillsynsbegäran mail.docx", "A 50403-2022")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46241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46241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46241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46241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32573-2026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46241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HYPERLINK("https://klasma.github.io/Logging_0586/artfynd/A 32573-2026 artfynd.xlsx", "A 32573-2026")</f>
        <v/>
      </c>
      <c r="X20">
        <f>HYPERLINK("https://klasma.github.io/Logging_0586/kartor/A 32573-2026 karta.png", "A 32573-2026")</f>
        <v/>
      </c>
      <c r="Y20">
        <f>HYPERLINK("https://klasma.github.io/Logging_0586/kartor_geotiff/A 32573-2026 georefererad karta.tif", "A 32573-2026")</f>
        <v/>
      </c>
      <c r="AA20">
        <f>HYPERLINK("https://klasma.github.io/Logging_0586/klagomål/A 32573-2026 FSC-klagomål.docx", "A 32573-2026")</f>
        <v/>
      </c>
      <c r="AB20">
        <f>HYPERLINK("https://klasma.github.io/Logging_0586/klagomålsmail/A 32573-2026 FSC-klagomål mail.docx", "A 32573-2026")</f>
        <v/>
      </c>
      <c r="AC20">
        <f>HYPERLINK("https://klasma.github.io/Logging_0586/tillsyn/A 32573-2026 tillsynsbegäran.docx", "A 32573-2026")</f>
        <v/>
      </c>
      <c r="AD20">
        <f>HYPERLINK("https://klasma.github.io/Logging_0586/tillsynsmail/A 32573-2026 tillsynsbegäran mail.docx", "A 32573-2026")</f>
        <v/>
      </c>
    </row>
    <row r="21" ht="15" customHeight="1">
      <c r="A21" t="inlineStr">
        <is>
          <t>A 13567-2025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46241</v>
      </c>
      <c r="F21" t="inlineStr">
        <is>
          <t>ÖSTERGÖTLANDS LÄN</t>
        </is>
      </c>
      <c r="G21" t="inlineStr">
        <is>
          <t>MJÖLBY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Klubbsprötad bastardsvärmare</t>
        </is>
      </c>
      <c r="W21">
        <f>HYPERLINK("https://klasma.github.io/Logging_0586/artfynd/A 13567-2025 artfynd.xlsx", "A 13567-2025")</f>
        <v/>
      </c>
      <c r="X21">
        <f>HYPERLINK("https://klasma.github.io/Logging_0586/kartor/A 13567-2025 karta.png", "A 13567-2025")</f>
        <v/>
      </c>
      <c r="Y21">
        <f>HYPERLINK("https://klasma.github.io/Logging_0586/kartor_geotiff/A 13567-2025 georefererad karta.tif", "A 13567-2025")</f>
        <v/>
      </c>
      <c r="AA21">
        <f>HYPERLINK("https://klasma.github.io/Logging_0586/klagomål/A 13567-2025 FSC-klagomål.docx", "A 13567-2025")</f>
        <v/>
      </c>
      <c r="AB21">
        <f>HYPERLINK("https://klasma.github.io/Logging_0586/klagomålsmail/A 13567-2025 FSC-klagomål mail.docx", "A 13567-2025")</f>
        <v/>
      </c>
      <c r="AC21">
        <f>HYPERLINK("https://klasma.github.io/Logging_0586/tillsyn/A 13567-2025 tillsynsbegäran.docx", "A 13567-2025")</f>
        <v/>
      </c>
      <c r="AD21">
        <f>HYPERLINK("https://klasma.github.io/Logging_0586/tillsynsmail/A 13567-2025 tillsynsbegäran mail.docx", "A 13567-2025")</f>
        <v/>
      </c>
    </row>
    <row r="22" ht="15" customHeight="1">
      <c r="A22" t="inlineStr">
        <is>
          <t>A 22327-2024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46241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HYPERLINK("https://klasma.github.io/Logging_0586/artfynd/A 22327-2024 artfynd.xlsx", "A 22327-2024")</f>
        <v/>
      </c>
      <c r="X22">
        <f>HYPERLINK("https://klasma.github.io/Logging_0586/kartor/A 22327-2024 karta.png", "A 22327-2024")</f>
        <v/>
      </c>
      <c r="Y22">
        <f>HYPERLINK("https://klasma.github.io/Logging_0586/kartor_geotiff/A 22327-2024 georefererad karta.tif", "A 22327-2024")</f>
        <v/>
      </c>
      <c r="AA22">
        <f>HYPERLINK("https://klasma.github.io/Logging_0586/klagomål/A 22327-2024 FSC-klagomål.docx", "A 22327-2024")</f>
        <v/>
      </c>
      <c r="AB22">
        <f>HYPERLINK("https://klasma.github.io/Logging_0586/klagomålsmail/A 22327-2024 FSC-klagomål mail.docx", "A 22327-2024")</f>
        <v/>
      </c>
      <c r="AC22">
        <f>HYPERLINK("https://klasma.github.io/Logging_0586/tillsyn/A 22327-2024 tillsynsbegäran.docx", "A 22327-2024")</f>
        <v/>
      </c>
      <c r="AD22">
        <f>HYPERLINK("https://klasma.github.io/Logging_0586/tillsynsmail/A 22327-2024 tillsynsbegäran mail.docx", "A 22327-2024")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46241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46241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46241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46241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46241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46241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46241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46241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46241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46241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46241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46241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46241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46241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44792</v>
      </c>
      <c r="E37" s="1" t="n">
        <v>46241</v>
      </c>
      <c r="F37" t="inlineStr">
        <is>
          <t>ÖSTERGÖTLANDS LÄN</t>
        </is>
      </c>
      <c r="G37" t="inlineStr">
        <is>
          <t>MJÖLBY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45221</v>
      </c>
      <c r="E38" s="1" t="n">
        <v>46241</v>
      </c>
      <c r="F38" t="inlineStr">
        <is>
          <t>ÖSTERGÖTLANDS LÄN</t>
        </is>
      </c>
      <c r="G38" t="inlineStr">
        <is>
          <t>MJÖLBY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46241</v>
      </c>
      <c r="F39" t="inlineStr">
        <is>
          <t>ÖSTERGÖTLANDS LÄN</t>
        </is>
      </c>
      <c r="G39" t="inlineStr">
        <is>
          <t>MJÖLBY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46241</v>
      </c>
      <c r="F40" t="inlineStr">
        <is>
          <t>ÖSTERGÖTLANDS LÄN</t>
        </is>
      </c>
      <c r="G40" t="inlineStr">
        <is>
          <t>MJÖLBY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46241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46241</v>
      </c>
      <c r="F42" t="inlineStr">
        <is>
          <t>ÖSTERGÖTLANDS LÄN</t>
        </is>
      </c>
      <c r="G42" t="inlineStr">
        <is>
          <t>MJÖLBY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46241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54442-2021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46241</v>
      </c>
      <c r="F44" t="inlineStr">
        <is>
          <t>ÖSTERGÖTLANDS LÄN</t>
        </is>
      </c>
      <c r="G44" t="inlineStr">
        <is>
          <t>MJÖLBY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46241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46241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46240-2021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46241</v>
      </c>
      <c r="F47" t="inlineStr">
        <is>
          <t>ÖSTERGÖTLANDS LÄN</t>
        </is>
      </c>
      <c r="G47" t="inlineStr">
        <is>
          <t>MJÖLBY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65921-2021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46241</v>
      </c>
      <c r="F48" t="inlineStr">
        <is>
          <t>ÖSTERGÖTLANDS LÄN</t>
        </is>
      </c>
      <c r="G48" t="inlineStr">
        <is>
          <t>MJÖLBY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45208</v>
      </c>
      <c r="E49" s="1" t="n">
        <v>46241</v>
      </c>
      <c r="F49" t="inlineStr">
        <is>
          <t>ÖSTERGÖTLANDS LÄN</t>
        </is>
      </c>
      <c r="G49" t="inlineStr">
        <is>
          <t>MJÖLBY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45553</v>
      </c>
      <c r="E50" s="1" t="n">
        <v>46241</v>
      </c>
      <c r="F50" t="inlineStr">
        <is>
          <t>ÖSTERGÖTLANDS LÄN</t>
        </is>
      </c>
      <c r="G50" t="inlineStr">
        <is>
          <t>MJÖLBY</t>
        </is>
      </c>
      <c r="H50" t="inlineStr">
        <is>
          <t>Kyrkan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66977-2021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46241</v>
      </c>
      <c r="F51" t="inlineStr">
        <is>
          <t>ÖSTERGÖTLANDS LÄN</t>
        </is>
      </c>
      <c r="G51" t="inlineStr">
        <is>
          <t>MJÖLBY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10980-2024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46241</v>
      </c>
      <c r="F52" t="inlineStr">
        <is>
          <t>ÖSTERGÖTLANDS LÄN</t>
        </is>
      </c>
      <c r="G52" t="inlineStr">
        <is>
          <t>MJÖLBY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45567</v>
      </c>
      <c r="E53" s="1" t="n">
        <v>46241</v>
      </c>
      <c r="F53" t="inlineStr">
        <is>
          <t>ÖSTERGÖTLANDS LÄN</t>
        </is>
      </c>
      <c r="G53" t="inlineStr">
        <is>
          <t>MJÖLBY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46241</v>
      </c>
      <c r="F54" t="inlineStr">
        <is>
          <t>ÖSTERGÖTLANDS LÄN</t>
        </is>
      </c>
      <c r="G54" t="inlineStr">
        <is>
          <t>MJÖLBY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60964-2023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45261</v>
      </c>
      <c r="E55" s="1" t="n">
        <v>46241</v>
      </c>
      <c r="F55" t="inlineStr">
        <is>
          <t>ÖSTERGÖTLANDS LÄN</t>
        </is>
      </c>
      <c r="G55" t="inlineStr">
        <is>
          <t>MJÖLBY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46241</v>
      </c>
      <c r="F56" t="inlineStr">
        <is>
          <t>ÖSTERGÖTLANDS LÄN</t>
        </is>
      </c>
      <c r="G56" t="inlineStr">
        <is>
          <t>MJÖLBY</t>
        </is>
      </c>
      <c r="H56" t="inlineStr">
        <is>
          <t>Kyrkan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50570-2023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46241</v>
      </c>
      <c r="F57" t="inlineStr">
        <is>
          <t>ÖSTERGÖTLANDS LÄN</t>
        </is>
      </c>
      <c r="G57" t="inlineStr">
        <is>
          <t>MJÖLBY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44936</v>
      </c>
      <c r="E58" s="1" t="n">
        <v>46241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45282</v>
      </c>
      <c r="E59" s="1" t="n">
        <v>46241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59234-2022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44904</v>
      </c>
      <c r="E60" s="1" t="n">
        <v>46241</v>
      </c>
      <c r="F60" t="inlineStr">
        <is>
          <t>ÖSTERGÖTLANDS LÄN</t>
        </is>
      </c>
      <c r="G60" t="inlineStr">
        <is>
          <t>MJÖLBY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46241</v>
      </c>
      <c r="F61" t="inlineStr">
        <is>
          <t>ÖSTERGÖTLANDS LÄN</t>
        </is>
      </c>
      <c r="G61" t="inlineStr">
        <is>
          <t>MJÖLBY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46241</v>
      </c>
      <c r="F62" t="inlineStr">
        <is>
          <t>ÖSTERGÖTLANDS LÄN</t>
        </is>
      </c>
      <c r="G62" t="inlineStr">
        <is>
          <t>MJÖLBY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46241</v>
      </c>
      <c r="F63" t="inlineStr">
        <is>
          <t>ÖSTERGÖTLANDS LÄN</t>
        </is>
      </c>
      <c r="G63" t="inlineStr">
        <is>
          <t>MJÖLBY</t>
        </is>
      </c>
      <c r="H63" t="inlineStr">
        <is>
          <t>Sveaskog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64930-2023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46241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46241</v>
      </c>
      <c r="F65" t="inlineStr">
        <is>
          <t>ÖSTERGÖTLANDS LÄN</t>
        </is>
      </c>
      <c r="G65" t="inlineStr">
        <is>
          <t>MJÖLBY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46241</v>
      </c>
      <c r="F66" t="inlineStr">
        <is>
          <t>ÖSTERGÖTLANDS LÄN</t>
        </is>
      </c>
      <c r="G66" t="inlineStr">
        <is>
          <t>MJÖLBY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46121</v>
      </c>
      <c r="E67" s="1" t="n">
        <v>46241</v>
      </c>
      <c r="F67" t="inlineStr">
        <is>
          <t>ÖSTERGÖTLANDS LÄN</t>
        </is>
      </c>
      <c r="G67" t="inlineStr">
        <is>
          <t>MJÖLBY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46121</v>
      </c>
      <c r="E68" s="1" t="n">
        <v>46241</v>
      </c>
      <c r="F68" t="inlineStr">
        <is>
          <t>ÖSTERGÖTLANDS LÄN</t>
        </is>
      </c>
      <c r="G68" t="inlineStr">
        <is>
          <t>MJÖLBY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44946</v>
      </c>
      <c r="E69" s="1" t="n">
        <v>46241</v>
      </c>
      <c r="F69" t="inlineStr">
        <is>
          <t>ÖSTERGÖTLANDS LÄN</t>
        </is>
      </c>
      <c r="G69" t="inlineStr">
        <is>
          <t>MJÖLBY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46241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45146</v>
      </c>
      <c r="E71" s="1" t="n">
        <v>46241</v>
      </c>
      <c r="F71" t="inlineStr">
        <is>
          <t>ÖSTERGÖTLANDS LÄN</t>
        </is>
      </c>
      <c r="G71" t="inlineStr">
        <is>
          <t>MJÖLBY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46241</v>
      </c>
      <c r="F72" t="inlineStr">
        <is>
          <t>ÖSTERGÖTLANDS LÄN</t>
        </is>
      </c>
      <c r="G72" t="inlineStr">
        <is>
          <t>MJÖLBY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46241</v>
      </c>
      <c r="F73" t="inlineStr">
        <is>
          <t>ÖSTERGÖTLANDS LÄN</t>
        </is>
      </c>
      <c r="G73" t="inlineStr">
        <is>
          <t>MJÖLBY</t>
        </is>
      </c>
      <c r="H73" t="inlineStr">
        <is>
          <t>Övriga Aktiebolag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46241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46241</v>
      </c>
      <c r="F75" t="inlineStr">
        <is>
          <t>ÖSTERGÖTLANDS LÄN</t>
        </is>
      </c>
      <c r="G75" t="inlineStr">
        <is>
          <t>MJÖLBY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63449-2023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45273</v>
      </c>
      <c r="E76" s="1" t="n">
        <v>46241</v>
      </c>
      <c r="F76" t="inlineStr">
        <is>
          <t>ÖSTERGÖTLANDS LÄN</t>
        </is>
      </c>
      <c r="G76" t="inlineStr">
        <is>
          <t>MJÖLBY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45681</v>
      </c>
      <c r="E77" s="1" t="n">
        <v>46241</v>
      </c>
      <c r="F77" t="inlineStr">
        <is>
          <t>ÖSTERGÖTLANDS LÄN</t>
        </is>
      </c>
      <c r="G77" t="inlineStr">
        <is>
          <t>MJÖLBY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46241</v>
      </c>
      <c r="F78" t="inlineStr">
        <is>
          <t>ÖSTERGÖTLANDS LÄN</t>
        </is>
      </c>
      <c r="G78" t="inlineStr">
        <is>
          <t>MJÖLBY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46241</v>
      </c>
      <c r="F79" t="inlineStr">
        <is>
          <t>ÖSTERGÖTLANDS LÄN</t>
        </is>
      </c>
      <c r="G79" t="inlineStr">
        <is>
          <t>MJÖLBY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46241</v>
      </c>
      <c r="F80" t="inlineStr">
        <is>
          <t>ÖSTERGÖTLANDS LÄN</t>
        </is>
      </c>
      <c r="G80" t="inlineStr">
        <is>
          <t>MJÖLBY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46241</v>
      </c>
      <c r="F81" t="inlineStr">
        <is>
          <t>ÖSTERGÖTLANDS LÄN</t>
        </is>
      </c>
      <c r="G81" t="inlineStr">
        <is>
          <t>MJÖLBY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45152</v>
      </c>
      <c r="E82" s="1" t="n">
        <v>46241</v>
      </c>
      <c r="F82" t="inlineStr">
        <is>
          <t>ÖSTERGÖTLANDS LÄN</t>
        </is>
      </c>
      <c r="G82" t="inlineStr">
        <is>
          <t>MJÖLBY</t>
        </is>
      </c>
      <c r="H82" t="inlineStr">
        <is>
          <t>Allmännings- och besparingsskogar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46241</v>
      </c>
      <c r="F83" t="inlineStr">
        <is>
          <t>ÖSTERGÖTLANDS LÄN</t>
        </is>
      </c>
      <c r="G83" t="inlineStr">
        <is>
          <t>MJÖLBY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46241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46241</v>
      </c>
      <c r="F85" t="inlineStr">
        <is>
          <t>ÖSTERGÖTLANDS LÄN</t>
        </is>
      </c>
      <c r="G85" t="inlineStr">
        <is>
          <t>MJÖLBY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46241</v>
      </c>
      <c r="F86" t="inlineStr">
        <is>
          <t>ÖSTERGÖTLANDS LÄN</t>
        </is>
      </c>
      <c r="G86" t="inlineStr">
        <is>
          <t>MJÖLBY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45892</v>
      </c>
      <c r="E87" s="1" t="n">
        <v>46241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46241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46241</v>
      </c>
      <c r="F89" t="inlineStr">
        <is>
          <t>ÖSTERGÖTLANDS LÄN</t>
        </is>
      </c>
      <c r="G89" t="inlineStr">
        <is>
          <t>MJÖLBY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27251-2025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46241</v>
      </c>
      <c r="F90" t="inlineStr">
        <is>
          <t>ÖSTERGÖTLANDS LÄN</t>
        </is>
      </c>
      <c r="G90" t="inlineStr">
        <is>
          <t>MJÖLBY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41105-2025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46241</v>
      </c>
      <c r="F91" t="inlineStr">
        <is>
          <t>ÖSTERGÖTLANDS LÄN</t>
        </is>
      </c>
      <c r="G91" t="inlineStr">
        <is>
          <t>MJÖLBY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46241</v>
      </c>
      <c r="F92" t="inlineStr">
        <is>
          <t>ÖSTERGÖTLANDS LÄN</t>
        </is>
      </c>
      <c r="G92" t="inlineStr">
        <is>
          <t>MJÖLBY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46241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46241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45950</v>
      </c>
      <c r="E95" s="1" t="n">
        <v>46241</v>
      </c>
      <c r="F95" t="inlineStr">
        <is>
          <t>ÖSTERGÖTLANDS LÄN</t>
        </is>
      </c>
      <c r="G95" t="inlineStr">
        <is>
          <t>MJÖLBY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44768</v>
      </c>
      <c r="E96" s="1" t="n">
        <v>46241</v>
      </c>
      <c r="F96" t="inlineStr">
        <is>
          <t>ÖSTERGÖTLANDS LÄN</t>
        </is>
      </c>
      <c r="G96" t="inlineStr">
        <is>
          <t>MJÖLBY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46139</v>
      </c>
      <c r="E97" s="1" t="n">
        <v>46241</v>
      </c>
      <c r="F97" t="inlineStr">
        <is>
          <t>ÖSTERGÖTLANDS LÄN</t>
        </is>
      </c>
      <c r="G97" t="inlineStr">
        <is>
          <t>MJÖLBY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46241</v>
      </c>
      <c r="F98" t="inlineStr">
        <is>
          <t>ÖSTERGÖTLANDS LÄN</t>
        </is>
      </c>
      <c r="G98" t="inlineStr">
        <is>
          <t>MJÖLBY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44770-2025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45917</v>
      </c>
      <c r="E99" s="1" t="n">
        <v>46241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44769-2025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45917</v>
      </c>
      <c r="E100" s="1" t="n">
        <v>46241</v>
      </c>
      <c r="F100" t="inlineStr">
        <is>
          <t>ÖSTERGÖTLANDS LÄN</t>
        </is>
      </c>
      <c r="G100" t="inlineStr">
        <is>
          <t>MJÖLBY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46241</v>
      </c>
      <c r="F101" t="inlineStr">
        <is>
          <t>ÖSTERGÖTLANDS LÄN</t>
        </is>
      </c>
      <c r="G101" t="inlineStr">
        <is>
          <t>MJÖLBY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46241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Kommuner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46241</v>
      </c>
      <c r="F103" t="inlineStr">
        <is>
          <t>ÖSTERGÖTLANDS LÄN</t>
        </is>
      </c>
      <c r="G103" t="inlineStr">
        <is>
          <t>MJÖLBY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58800-2022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44903</v>
      </c>
      <c r="E104" s="1" t="n">
        <v>46241</v>
      </c>
      <c r="F104" t="inlineStr">
        <is>
          <t>ÖSTERGÖTLANDS LÄN</t>
        </is>
      </c>
      <c r="G104" t="inlineStr">
        <is>
          <t>MJÖLBY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45342</v>
      </c>
      <c r="E105" s="1" t="n">
        <v>46241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Kyrkan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45376</v>
      </c>
      <c r="E106" s="1" t="n">
        <v>46241</v>
      </c>
      <c r="F106" t="inlineStr">
        <is>
          <t>ÖSTERGÖTLANDS LÄN</t>
        </is>
      </c>
      <c r="G106" t="inlineStr">
        <is>
          <t>MJÖLBY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46241</v>
      </c>
      <c r="F107" t="inlineStr">
        <is>
          <t>ÖSTERGÖTLANDS LÄN</t>
        </is>
      </c>
      <c r="G107" t="inlineStr">
        <is>
          <t>MJÖLBY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59411-2022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44907</v>
      </c>
      <c r="E108" s="1" t="n">
        <v>46241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45979</v>
      </c>
      <c r="E109" s="1" t="n">
        <v>46241</v>
      </c>
      <c r="F109" t="inlineStr">
        <is>
          <t>ÖSTERGÖTLANDS LÄN</t>
        </is>
      </c>
      <c r="G109" t="inlineStr">
        <is>
          <t>MJÖLBY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46241</v>
      </c>
      <c r="F110" t="inlineStr">
        <is>
          <t>ÖSTERGÖTLANDS LÄN</t>
        </is>
      </c>
      <c r="G110" t="inlineStr">
        <is>
          <t>MJÖLBY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46241</v>
      </c>
      <c r="F111" t="inlineStr">
        <is>
          <t>ÖSTERGÖTLANDS LÄN</t>
        </is>
      </c>
      <c r="G111" t="inlineStr">
        <is>
          <t>MJÖLBY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46241</v>
      </c>
      <c r="F112" t="inlineStr">
        <is>
          <t>ÖSTERGÖTLANDS LÄN</t>
        </is>
      </c>
      <c r="G112" t="inlineStr">
        <is>
          <t>MJÖLBY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59410-2022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44907</v>
      </c>
      <c r="E113" s="1" t="n">
        <v>46241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46241</v>
      </c>
      <c r="F114" t="inlineStr">
        <is>
          <t>ÖSTERGÖTLANDS LÄN</t>
        </is>
      </c>
      <c r="G114" t="inlineStr">
        <is>
          <t>MJÖLBY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46241</v>
      </c>
      <c r="F115" t="inlineStr">
        <is>
          <t>ÖSTERGÖTLANDS LÄN</t>
        </is>
      </c>
      <c r="G115" t="inlineStr">
        <is>
          <t>MJÖLBY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46241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46241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46241</v>
      </c>
      <c r="F118" t="inlineStr">
        <is>
          <t>ÖSTERGÖTLANDS LÄN</t>
        </is>
      </c>
      <c r="G118" t="inlineStr">
        <is>
          <t>MJÖLBY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45988</v>
      </c>
      <c r="E119" s="1" t="n">
        <v>46241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21518-2026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46148</v>
      </c>
      <c r="E120" s="1" t="n">
        <v>46241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45269</v>
      </c>
      <c r="E121" s="1" t="n">
        <v>46241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32581-2025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46241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46241</v>
      </c>
      <c r="F123" t="inlineStr">
        <is>
          <t>ÖSTERGÖTLANDS LÄN</t>
        </is>
      </c>
      <c r="G123" t="inlineStr">
        <is>
          <t>MJÖLBY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46241</v>
      </c>
      <c r="F124" t="inlineStr">
        <is>
          <t>ÖSTERGÖTLANDS LÄN</t>
        </is>
      </c>
      <c r="G124" t="inlineStr">
        <is>
          <t>MJÖLBY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46241</v>
      </c>
      <c r="F125" t="inlineStr">
        <is>
          <t>ÖSTERGÖTLANDS LÄN</t>
        </is>
      </c>
      <c r="G125" t="inlineStr">
        <is>
          <t>MJÖLBY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46241</v>
      </c>
      <c r="F126" t="inlineStr">
        <is>
          <t>ÖSTERGÖTLANDS LÄN</t>
        </is>
      </c>
      <c r="G126" t="inlineStr">
        <is>
          <t>MJÖLBY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62391-2025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46241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Kyrkan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46241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46241</v>
      </c>
      <c r="F129" t="inlineStr">
        <is>
          <t>ÖSTERGÖTLANDS LÄN</t>
        </is>
      </c>
      <c r="G129" t="inlineStr">
        <is>
          <t>MJÖLBY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68095-2021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44526</v>
      </c>
      <c r="E130" s="1" t="n">
        <v>46241</v>
      </c>
      <c r="F130" t="inlineStr">
        <is>
          <t>ÖSTERGÖTLANDS LÄN</t>
        </is>
      </c>
      <c r="G130" t="inlineStr">
        <is>
          <t>MJÖLBY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46241</v>
      </c>
      <c r="F131" t="inlineStr">
        <is>
          <t>ÖSTERGÖTLANDS LÄN</t>
        </is>
      </c>
      <c r="G131" t="inlineStr">
        <is>
          <t>MJÖLBY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46241</v>
      </c>
      <c r="F132" t="inlineStr">
        <is>
          <t>ÖSTERGÖTLANDS LÄN</t>
        </is>
      </c>
      <c r="G132" t="inlineStr">
        <is>
          <t>MJÖLBY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46241</v>
      </c>
      <c r="F133" t="inlineStr">
        <is>
          <t>ÖSTERGÖTLANDS LÄN</t>
        </is>
      </c>
      <c r="G133" t="inlineStr">
        <is>
          <t>MJÖLBY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46241</v>
      </c>
      <c r="F134" t="inlineStr">
        <is>
          <t>ÖSTERGÖTLANDS LÄN</t>
        </is>
      </c>
      <c r="G134" t="inlineStr">
        <is>
          <t>MJÖLBY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44629</v>
      </c>
      <c r="E135" s="1" t="n">
        <v>46241</v>
      </c>
      <c r="F135" t="inlineStr">
        <is>
          <t>ÖSTERGÖTLANDS LÄN</t>
        </is>
      </c>
      <c r="G135" t="inlineStr">
        <is>
          <t>MJÖLBY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46241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45677</v>
      </c>
      <c r="E137" s="1" t="n">
        <v>46241</v>
      </c>
      <c r="F137" t="inlineStr">
        <is>
          <t>ÖSTERGÖTLANDS LÄN</t>
        </is>
      </c>
      <c r="G137" t="inlineStr">
        <is>
          <t>MJÖLBY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24139-2026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46241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46241</v>
      </c>
      <c r="F139" t="inlineStr">
        <is>
          <t>ÖSTERGÖTLANDS LÄN</t>
        </is>
      </c>
      <c r="G139" t="inlineStr">
        <is>
          <t>MJÖLBY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45674</v>
      </c>
      <c r="E140" s="1" t="n">
        <v>46241</v>
      </c>
      <c r="F140" t="inlineStr">
        <is>
          <t>ÖSTERGÖTLANDS LÄN</t>
        </is>
      </c>
      <c r="G140" t="inlineStr">
        <is>
          <t>MJÖLBY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46241</v>
      </c>
      <c r="F141" t="inlineStr">
        <is>
          <t>ÖSTERGÖTLANDS LÄN</t>
        </is>
      </c>
      <c r="G141" t="inlineStr">
        <is>
          <t>MJÖLBY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45666</v>
      </c>
      <c r="E142" s="1" t="n">
        <v>46241</v>
      </c>
      <c r="F142" t="inlineStr">
        <is>
          <t>ÖSTERGÖTLANDS LÄN</t>
        </is>
      </c>
      <c r="G142" t="inlineStr">
        <is>
          <t>MJÖLBY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31161-2026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46216</v>
      </c>
      <c r="E143" s="1" t="n">
        <v>46241</v>
      </c>
      <c r="F143" t="inlineStr">
        <is>
          <t>ÖSTERGÖTLANDS LÄN</t>
        </is>
      </c>
      <c r="G143" t="inlineStr">
        <is>
          <t>MJÖLBY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46241</v>
      </c>
      <c r="F144" t="inlineStr">
        <is>
          <t>ÖSTERGÖTLANDS LÄN</t>
        </is>
      </c>
      <c r="G144" t="inlineStr">
        <is>
          <t>MJÖLBY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46241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46241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46241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46217</v>
      </c>
      <c r="E148" s="1" t="n">
        <v>46241</v>
      </c>
      <c r="F148" t="inlineStr">
        <is>
          <t>ÖSTERGÖTLANDS LÄN</t>
        </is>
      </c>
      <c r="G148" t="inlineStr">
        <is>
          <t>MJÖLBY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46241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46241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46241</v>
      </c>
      <c r="F151" t="inlineStr">
        <is>
          <t>ÖSTERGÖTLANDS LÄN</t>
        </is>
      </c>
      <c r="G151" t="inlineStr">
        <is>
          <t>MJÖLBY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46241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46241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46241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46241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14928-2026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46241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46241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46241</v>
      </c>
      <c r="F158" t="inlineStr">
        <is>
          <t>ÖSTERGÖTLANDS LÄN</t>
        </is>
      </c>
      <c r="G158" t="inlineStr">
        <is>
          <t>MJÖLBY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46241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46241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46241</v>
      </c>
      <c r="F161" t="inlineStr">
        <is>
          <t>ÖSTERGÖTLANDS LÄN</t>
        </is>
      </c>
      <c r="G161" t="inlineStr">
        <is>
          <t>MJÖLBY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44879</v>
      </c>
      <c r="E162" s="1" t="n">
        <v>46241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52655-2023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45225</v>
      </c>
      <c r="E163" s="1" t="n">
        <v>46241</v>
      </c>
      <c r="F163" t="inlineStr">
        <is>
          <t>ÖSTERGÖTLANDS LÄN</t>
        </is>
      </c>
      <c r="G163" t="inlineStr">
        <is>
          <t>MJÖLBY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46241</v>
      </c>
      <c r="F164" t="inlineStr">
        <is>
          <t>ÖSTERGÖTLANDS LÄN</t>
        </is>
      </c>
      <c r="G164" t="inlineStr">
        <is>
          <t>MJÖLBY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46241</v>
      </c>
      <c r="F165" t="inlineStr">
        <is>
          <t>ÖSTERGÖTLANDS LÄN</t>
        </is>
      </c>
      <c r="G165" t="inlineStr">
        <is>
          <t>MJÖLBY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27126-2026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46188</v>
      </c>
      <c r="E166" s="1" t="n">
        <v>46241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46241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45259</v>
      </c>
      <c r="E168" s="1" t="n">
        <v>46241</v>
      </c>
      <c r="F168" t="inlineStr">
        <is>
          <t>ÖSTERGÖTLANDS LÄN</t>
        </is>
      </c>
      <c r="G168" t="inlineStr">
        <is>
          <t>MJÖLBY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44663</v>
      </c>
      <c r="E169" s="1" t="n">
        <v>46241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45525</v>
      </c>
      <c r="E170" s="1" t="n">
        <v>46241</v>
      </c>
      <c r="F170" t="inlineStr">
        <is>
          <t>ÖSTERGÖTLANDS LÄN</t>
        </is>
      </c>
      <c r="G170" t="inlineStr">
        <is>
          <t>MJÖLBY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46241</v>
      </c>
      <c r="F171" t="inlineStr">
        <is>
          <t>ÖSTERGÖTLANDS LÄN</t>
        </is>
      </c>
      <c r="G171" t="inlineStr">
        <is>
          <t>MJÖLBY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46241</v>
      </c>
      <c r="F172" t="inlineStr">
        <is>
          <t>ÖSTERGÖTLANDS LÄN</t>
        </is>
      </c>
      <c r="G172" t="inlineStr">
        <is>
          <t>MJÖLBY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46232</v>
      </c>
      <c r="E173" s="1" t="n">
        <v>46241</v>
      </c>
      <c r="F173" t="inlineStr">
        <is>
          <t>ÖSTERGÖTLANDS LÄN</t>
        </is>
      </c>
      <c r="G173" t="inlineStr">
        <is>
          <t>MJÖLBY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46241</v>
      </c>
      <c r="F174" t="inlineStr">
        <is>
          <t>ÖSTERGÖTLANDS LÄN</t>
        </is>
      </c>
      <c r="G174" t="inlineStr">
        <is>
          <t>MJÖLBY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46237</v>
      </c>
      <c r="E175" s="1" t="n">
        <v>46241</v>
      </c>
      <c r="F175" t="inlineStr">
        <is>
          <t>ÖSTERGÖTLANDS LÄN</t>
        </is>
      </c>
      <c r="G175" t="inlineStr">
        <is>
          <t>MJÖLBY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46241</v>
      </c>
      <c r="F176" t="inlineStr">
        <is>
          <t>ÖSTERGÖTLANDS LÄN</t>
        </is>
      </c>
      <c r="G176" t="inlineStr">
        <is>
          <t>MJÖLBY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46241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46241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46241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44580</v>
      </c>
      <c r="E180" s="1" t="n">
        <v>46241</v>
      </c>
      <c r="F180" t="inlineStr">
        <is>
          <t>ÖSTERGÖTLANDS LÄN</t>
        </is>
      </c>
      <c r="G180" t="inlineStr">
        <is>
          <t>MJÖLBY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46241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46241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46241</v>
      </c>
      <c r="F183" t="inlineStr">
        <is>
          <t>ÖSTERGÖTLANDS LÄN</t>
        </is>
      </c>
      <c r="G183" t="inlineStr">
        <is>
          <t>MJÖLBY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45324</v>
      </c>
      <c r="E184" s="1" t="n">
        <v>46241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Kyrkan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46241</v>
      </c>
      <c r="F185" t="inlineStr">
        <is>
          <t>ÖSTERGÖTLANDS LÄN</t>
        </is>
      </c>
      <c r="G185" t="inlineStr">
        <is>
          <t>MJÖLBY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41819-2023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46241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50883-2024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46241</v>
      </c>
      <c r="F187" t="inlineStr">
        <is>
          <t>ÖSTERGÖTLANDS LÄN</t>
        </is>
      </c>
      <c r="G187" t="inlineStr">
        <is>
          <t>MJÖLBY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46241</v>
      </c>
      <c r="F188" t="inlineStr">
        <is>
          <t>ÖSTERGÖTLANDS LÄN</t>
        </is>
      </c>
      <c r="G188" t="inlineStr">
        <is>
          <t>MJÖLBY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45370</v>
      </c>
      <c r="E189" s="1" t="n">
        <v>46241</v>
      </c>
      <c r="F189" t="inlineStr">
        <is>
          <t>ÖSTERGÖTLANDS LÄN</t>
        </is>
      </c>
      <c r="G189" t="inlineStr">
        <is>
          <t>MJÖLBY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46241</v>
      </c>
      <c r="F190" t="inlineStr">
        <is>
          <t>ÖSTERGÖTLANDS LÄN</t>
        </is>
      </c>
      <c r="G190" t="inlineStr">
        <is>
          <t>MJÖLBY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46241</v>
      </c>
      <c r="F191" t="inlineStr">
        <is>
          <t>ÖSTERGÖTLANDS LÄN</t>
        </is>
      </c>
      <c r="G191" t="inlineStr">
        <is>
          <t>MJÖLBY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45177</v>
      </c>
      <c r="E192" s="1" t="n">
        <v>46241</v>
      </c>
      <c r="F192" t="inlineStr">
        <is>
          <t>ÖSTERGÖTLANDS LÄN</t>
        </is>
      </c>
      <c r="G192" t="inlineStr">
        <is>
          <t>MJÖLBY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50886-2024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46241</v>
      </c>
      <c r="F193" t="inlineStr">
        <is>
          <t>ÖSTERGÖTLANDS LÄN</t>
        </is>
      </c>
      <c r="G193" t="inlineStr">
        <is>
          <t>MJÖLBY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46241</v>
      </c>
      <c r="F194" t="inlineStr">
        <is>
          <t>ÖSTERGÖTLANDS LÄN</t>
        </is>
      </c>
      <c r="G194" t="inlineStr">
        <is>
          <t>MJÖLBY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45384</v>
      </c>
      <c r="E195" s="1" t="n">
        <v>46241</v>
      </c>
      <c r="F195" t="inlineStr">
        <is>
          <t>ÖSTERGÖTLANDS LÄN</t>
        </is>
      </c>
      <c r="G195" t="inlineStr">
        <is>
          <t>MJÖLBY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46241</v>
      </c>
      <c r="F196" t="inlineStr">
        <is>
          <t>ÖSTERGÖTLANDS LÄN</t>
        </is>
      </c>
      <c r="G196" t="inlineStr">
        <is>
          <t>MJÖLBY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46241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Kyrkan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46241</v>
      </c>
      <c r="F198" t="inlineStr">
        <is>
          <t>ÖSTERGÖTLANDS LÄN</t>
        </is>
      </c>
      <c r="G198" t="inlineStr">
        <is>
          <t>MJÖLBY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46241</v>
      </c>
      <c r="F199" t="inlineStr">
        <is>
          <t>ÖSTERGÖTLANDS LÄN</t>
        </is>
      </c>
      <c r="G199" t="inlineStr">
        <is>
          <t>MJÖLBY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45293</v>
      </c>
      <c r="E200" s="1" t="n">
        <v>46241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45301</v>
      </c>
      <c r="E201" s="1" t="n">
        <v>46241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46241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46241</v>
      </c>
      <c r="F203" t="inlineStr">
        <is>
          <t>ÖSTERGÖTLANDS LÄN</t>
        </is>
      </c>
      <c r="G203" t="inlineStr">
        <is>
          <t>MJÖLBY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46241</v>
      </c>
      <c r="F204" t="inlineStr">
        <is>
          <t>ÖSTERGÖTLANDS LÄN</t>
        </is>
      </c>
      <c r="G204" t="inlineStr">
        <is>
          <t>MJÖLBY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46241</v>
      </c>
      <c r="F205" t="inlineStr">
        <is>
          <t>ÖSTERGÖTLANDS LÄN</t>
        </is>
      </c>
      <c r="G205" t="inlineStr">
        <is>
          <t>MJÖLBY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38278-2024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45545</v>
      </c>
      <c r="E206" s="1" t="n">
        <v>46241</v>
      </c>
      <c r="F206" t="inlineStr">
        <is>
          <t>ÖSTERGÖTLANDS LÄN</t>
        </is>
      </c>
      <c r="G206" t="inlineStr">
        <is>
          <t>MJÖLBY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46241</v>
      </c>
      <c r="F207" t="inlineStr">
        <is>
          <t>ÖSTERGÖTLANDS LÄN</t>
        </is>
      </c>
      <c r="G207" t="inlineStr">
        <is>
          <t>MJÖLBY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46241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46241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45526</v>
      </c>
      <c r="E210" s="1" t="n">
        <v>46241</v>
      </c>
      <c r="F210" t="inlineStr">
        <is>
          <t>ÖSTERGÖTLANDS LÄN</t>
        </is>
      </c>
      <c r="G210" t="inlineStr">
        <is>
          <t>MJÖLBY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46241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46241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46241</v>
      </c>
      <c r="F213" t="inlineStr">
        <is>
          <t>ÖSTERGÖTLANDS LÄN</t>
        </is>
      </c>
      <c r="G213" t="inlineStr">
        <is>
          <t>MJÖLBY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46241</v>
      </c>
      <c r="F214" t="inlineStr">
        <is>
          <t>ÖSTERGÖTLANDS LÄN</t>
        </is>
      </c>
      <c r="G214" t="inlineStr">
        <is>
          <t>MJÖLBY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46241</v>
      </c>
      <c r="F215" t="inlineStr">
        <is>
          <t>ÖSTERGÖTLANDS LÄN</t>
        </is>
      </c>
      <c r="G215" t="inlineStr">
        <is>
          <t>MJÖLBY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27232-2025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45812</v>
      </c>
      <c r="E216" s="1" t="n">
        <v>46241</v>
      </c>
      <c r="F216" t="inlineStr">
        <is>
          <t>ÖSTERGÖTLANDS LÄN</t>
        </is>
      </c>
      <c r="G216" t="inlineStr">
        <is>
          <t>MJÖLBY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46241</v>
      </c>
      <c r="F217" t="inlineStr">
        <is>
          <t>ÖSTERGÖTLANDS LÄN</t>
        </is>
      </c>
      <c r="G217" t="inlineStr">
        <is>
          <t>MJÖLBY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46241</v>
      </c>
      <c r="F218" t="inlineStr">
        <is>
          <t>ÖSTERGÖTLANDS LÄN</t>
        </is>
      </c>
      <c r="G218" t="inlineStr">
        <is>
          <t>MJÖLBY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46241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46241</v>
      </c>
      <c r="F220" t="inlineStr">
        <is>
          <t>ÖSTERGÖTLANDS LÄN</t>
        </is>
      </c>
      <c r="G220" t="inlineStr">
        <is>
          <t>MJÖLBY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46241</v>
      </c>
      <c r="F221" t="inlineStr">
        <is>
          <t>ÖSTERGÖTLANDS LÄN</t>
        </is>
      </c>
      <c r="G221" t="inlineStr">
        <is>
          <t>MJÖLBY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46241</v>
      </c>
      <c r="F222" t="inlineStr">
        <is>
          <t>ÖSTERGÖTLANDS LÄN</t>
        </is>
      </c>
      <c r="G222" t="inlineStr">
        <is>
          <t>MJÖLBY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46241</v>
      </c>
      <c r="F223" t="inlineStr">
        <is>
          <t>ÖSTERGÖTLANDS LÄN</t>
        </is>
      </c>
      <c r="G223" t="inlineStr">
        <is>
          <t>MJÖLBY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1827-2026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46197</v>
      </c>
      <c r="E224" s="1" t="n">
        <v>46241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2026-08-07T01:53:59Z</dcterms:created>
  <dcterms:modified xmlns:dcterms="http://purl.org/dc/terms/" xmlns:xsi="http://www.w3.org/2001/XMLSchema-instance" xsi:type="dcterms:W3CDTF">2026-08-07T01:54:00Z</dcterms:modified>
</cp:coreProperties>
</file>