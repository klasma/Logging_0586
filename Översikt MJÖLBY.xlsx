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46308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46308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46308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46308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46308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46308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46308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46308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46308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46308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53521-2023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45230</v>
      </c>
      <c r="E12" s="1" t="n">
        <v>46308</v>
      </c>
      <c r="F12" t="inlineStr">
        <is>
          <t>ÖSTERGÖTLANDS LÄN</t>
        </is>
      </c>
      <c r="G12" t="inlineStr">
        <is>
          <t>MJÖLBY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Skogsduva</t>
        </is>
      </c>
      <c r="W12">
        <f>HYPERLINK("https://klasma.github.io/Logging_0586/artfynd/A 53521-2023 artfynd.xlsx", "A 53521-2023")</f>
        <v/>
      </c>
      <c r="X12">
        <f>HYPERLINK("https://klasma.github.io/Logging_0586/kartor/A 53521-2023 karta.png", "A 53521-2023")</f>
        <v/>
      </c>
      <c r="Y12">
        <f>HYPERLINK("https://klasma.github.io/Logging_0586/kartor_geotiff/A 53521-2023 georefererad karta.tif", "A 53521-2023")</f>
        <v/>
      </c>
      <c r="AA12">
        <f>HYPERLINK("https://klasma.github.io/Logging_0586/klagomål/A 53521-2023 FSC-klagomål.docx", "A 53521-2023")</f>
        <v/>
      </c>
      <c r="AB12">
        <f>HYPERLINK("https://klasma.github.io/Logging_0586/klagomålsmail/A 53521-2023 FSC-klagomål mail.docx", "A 53521-2023")</f>
        <v/>
      </c>
      <c r="AC12">
        <f>HYPERLINK("https://klasma.github.io/Logging_0586/tillsyn/A 53521-2023 tillsynsbegäran.docx", "A 53521-2023")</f>
        <v/>
      </c>
      <c r="AD12">
        <f>HYPERLINK("https://klasma.github.io/Logging_0586/tillsynsmail/A 53521-2023 tillsynsbegäran mail.docx", "A 53521-2023")</f>
        <v/>
      </c>
    </row>
    <row r="13" ht="15" customHeight="1">
      <c r="A13" t="inlineStr">
        <is>
          <t>A 2230-2025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46308</v>
      </c>
      <c r="F13" t="inlineStr">
        <is>
          <t>ÖSTERGÖTLANDS LÄN</t>
        </is>
      </c>
      <c r="G13" t="inlineStr">
        <is>
          <t>MJÖLBY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Fläcknycklar</t>
        </is>
      </c>
      <c r="W13">
        <f>HYPERLINK("https://klasma.github.io/Logging_0586/artfynd/A 2230-2025 artfynd.xlsx", "A 2230-2025")</f>
        <v/>
      </c>
      <c r="X13">
        <f>HYPERLINK("https://klasma.github.io/Logging_0586/kartor/A 2230-2025 karta.png", "A 2230-2025")</f>
        <v/>
      </c>
      <c r="Y13">
        <f>HYPERLINK("https://klasma.github.io/Logging_0586/kartor_geotiff/A 2230-2025 georefererad karta.tif", "A 2230-2025")</f>
        <v/>
      </c>
      <c r="AA13">
        <f>HYPERLINK("https://klasma.github.io/Logging_0586/klagomål/A 2230-2025 FSC-klagomål.docx", "A 2230-2025")</f>
        <v/>
      </c>
      <c r="AB13">
        <f>HYPERLINK("https://klasma.github.io/Logging_0586/klagomålsmail/A 2230-2025 FSC-klagomål mail.docx", "A 2230-2025")</f>
        <v/>
      </c>
      <c r="AC13">
        <f>HYPERLINK("https://klasma.github.io/Logging_0586/tillsyn/A 2230-2025 tillsynsbegäran.docx", "A 2230-2025")</f>
        <v/>
      </c>
      <c r="AD13">
        <f>HYPERLINK("https://klasma.github.io/Logging_0586/tillsynsmail/A 2230-2025 tillsynsbegäran mail.docx", "A 2230-2025")</f>
        <v/>
      </c>
    </row>
    <row r="14" ht="15" customHeight="1">
      <c r="A14" t="inlineStr">
        <is>
          <t>A 13567-2025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45736</v>
      </c>
      <c r="E14" s="1" t="n">
        <v>46308</v>
      </c>
      <c r="F14" t="inlineStr">
        <is>
          <t>ÖSTERGÖTLANDS LÄN</t>
        </is>
      </c>
      <c r="G14" t="inlineStr">
        <is>
          <t>MJÖLBY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Klubbsprötad bastardsvärmare</t>
        </is>
      </c>
      <c r="W14">
        <f>HYPERLINK("https://klasma.github.io/Logging_0586/artfynd/A 13567-2025 artfynd.xlsx", "A 13567-2025")</f>
        <v/>
      </c>
      <c r="X14">
        <f>HYPERLINK("https://klasma.github.io/Logging_0586/kartor/A 13567-2025 karta.png", "A 13567-2025")</f>
        <v/>
      </c>
      <c r="Y14">
        <f>HYPERLINK("https://klasma.github.io/Logging_0586/kartor_geotiff/A 13567-2025 georefererad karta.tif", "A 13567-2025")</f>
        <v/>
      </c>
      <c r="AA14">
        <f>HYPERLINK("https://klasma.github.io/Logging_0586/klagomål/A 13567-2025 FSC-klagomål.docx", "A 13567-2025")</f>
        <v/>
      </c>
      <c r="AB14">
        <f>HYPERLINK("https://klasma.github.io/Logging_0586/klagomålsmail/A 13567-2025 FSC-klagomål mail.docx", "A 13567-2025")</f>
        <v/>
      </c>
      <c r="AC14">
        <f>HYPERLINK("https://klasma.github.io/Logging_0586/tillsyn/A 13567-2025 tillsynsbegäran.docx", "A 13567-2025")</f>
        <v/>
      </c>
      <c r="AD14">
        <f>HYPERLINK("https://klasma.github.io/Logging_0586/tillsynsmail/A 13567-2025 tillsynsbegäran mail.docx", "A 13567-2025")</f>
        <v/>
      </c>
    </row>
    <row r="15" ht="15" customHeight="1">
      <c r="A15" t="inlineStr">
        <is>
          <t>A 32573-2026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46239</v>
      </c>
      <c r="E15" s="1" t="n">
        <v>46308</v>
      </c>
      <c r="F15" t="inlineStr">
        <is>
          <t>ÖSTERGÖTLANDS LÄN</t>
        </is>
      </c>
      <c r="G15" t="inlineStr">
        <is>
          <t>MJÖLBY</t>
        </is>
      </c>
      <c r="H15" t="inlineStr">
        <is>
          <t>Övriga Aktiebolag</t>
        </is>
      </c>
      <c r="I15" t="n">
        <v>6.6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HYPERLINK("https://klasma.github.io/Logging_0586/artfynd/A 32573-2026 artfynd.xlsx", "A 32573-2026")</f>
        <v/>
      </c>
      <c r="X15">
        <f>HYPERLINK("https://klasma.github.io/Logging_0586/kartor/A 32573-2026 karta.png", "A 32573-2026")</f>
        <v/>
      </c>
      <c r="Y15">
        <f>HYPERLINK("https://klasma.github.io/Logging_0586/kartor_geotiff/A 32573-2026 georefererad karta.tif", "A 32573-2026")</f>
        <v/>
      </c>
      <c r="AA15">
        <f>HYPERLINK("https://klasma.github.io/Logging_0586/klagomål/A 32573-2026 FSC-klagomål.docx", "A 32573-2026")</f>
        <v/>
      </c>
      <c r="AB15">
        <f>HYPERLINK("https://klasma.github.io/Logging_0586/klagomålsmail/A 32573-2026 FSC-klagomål mail.docx", "A 32573-2026")</f>
        <v/>
      </c>
      <c r="AC15">
        <f>HYPERLINK("https://klasma.github.io/Logging_0586/tillsyn/A 32573-2026 tillsynsbegäran.docx", "A 32573-2026")</f>
        <v/>
      </c>
      <c r="AD15">
        <f>HYPERLINK("https://klasma.github.io/Logging_0586/tillsynsmail/A 32573-2026 tillsynsbegäran mail.docx", "A 32573-2026")</f>
        <v/>
      </c>
    </row>
    <row r="16" ht="15" customHeight="1">
      <c r="A16" t="inlineStr">
        <is>
          <t>A 32554-2026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46239</v>
      </c>
      <c r="E16" s="1" t="n">
        <v>46308</v>
      </c>
      <c r="F16" t="inlineStr">
        <is>
          <t>ÖSTERGÖTLANDS LÄN</t>
        </is>
      </c>
      <c r="G16" t="inlineStr">
        <is>
          <t>MJÖLBY</t>
        </is>
      </c>
      <c r="H16" t="inlineStr">
        <is>
          <t>Övriga Aktiebolag</t>
        </is>
      </c>
      <c r="I16" t="n">
        <v>3.1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Purpurknipprot</t>
        </is>
      </c>
      <c r="W16">
        <f>HYPERLINK("https://klasma.github.io/Logging_0586/artfynd/A 32554-2026 artfynd.xlsx", "A 32554-2026")</f>
        <v/>
      </c>
      <c r="X16">
        <f>HYPERLINK("https://klasma.github.io/Logging_0586/kartor/A 32554-2026 karta.png", "A 32554-2026")</f>
        <v/>
      </c>
      <c r="Y16">
        <f>HYPERLINK("https://klasma.github.io/Logging_0586/kartor_geotiff/A 32554-2026 georefererad karta.tif", "A 32554-2026")</f>
        <v/>
      </c>
      <c r="AA16">
        <f>HYPERLINK("https://klasma.github.io/Logging_0586/klagomål/A 32554-2026 FSC-klagomål.docx", "A 32554-2026")</f>
        <v/>
      </c>
      <c r="AB16">
        <f>HYPERLINK("https://klasma.github.io/Logging_0586/klagomålsmail/A 32554-2026 FSC-klagomål mail.docx", "A 32554-2026")</f>
        <v/>
      </c>
      <c r="AC16">
        <f>HYPERLINK("https://klasma.github.io/Logging_0586/tillsyn/A 32554-2026 tillsynsbegäran.docx", "A 32554-2026")</f>
        <v/>
      </c>
      <c r="AD16">
        <f>HYPERLINK("https://klasma.github.io/Logging_0586/tillsynsmail/A 32554-2026 tillsynsbegäran mail.docx", "A 32554-2026")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46308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34869-2026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46255</v>
      </c>
      <c r="E18" s="1" t="n">
        <v>46308</v>
      </c>
      <c r="F18" t="inlineStr">
        <is>
          <t>ÖSTERGÖTLANDS LÄN</t>
        </is>
      </c>
      <c r="G18" t="inlineStr">
        <is>
          <t>MJÖLBY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Backsippa</t>
        </is>
      </c>
      <c r="W18">
        <f>HYPERLINK("https://klasma.github.io/Logging_0586/artfynd/A 34869-2026 artfynd.xlsx", "A 34869-2026")</f>
        <v/>
      </c>
      <c r="X18">
        <f>HYPERLINK("https://klasma.github.io/Logging_0586/kartor/A 34869-2026 karta.png", "A 34869-2026")</f>
        <v/>
      </c>
      <c r="Y18">
        <f>HYPERLINK("https://klasma.github.io/Logging_0586/kartor_geotiff/A 34869-2026 georefererad karta.tif", "A 34869-2026")</f>
        <v/>
      </c>
      <c r="AA18">
        <f>HYPERLINK("https://klasma.github.io/Logging_0586/klagomål/A 34869-2026 FSC-klagomål.docx", "A 34869-2026")</f>
        <v/>
      </c>
      <c r="AB18">
        <f>HYPERLINK("https://klasma.github.io/Logging_0586/klagomålsmail/A 34869-2026 FSC-klagomål mail.docx", "A 34869-2026")</f>
        <v/>
      </c>
      <c r="AC18">
        <f>HYPERLINK("https://klasma.github.io/Logging_0586/tillsyn/A 34869-2026 tillsynsbegäran.docx", "A 34869-2026")</f>
        <v/>
      </c>
      <c r="AD18">
        <f>HYPERLINK("https://klasma.github.io/Logging_0586/tillsynsmail/A 34869-2026 tillsynsbegäran mail.docx", "A 34869-2026")</f>
        <v/>
      </c>
    </row>
    <row r="19" ht="15" customHeight="1">
      <c r="A19" t="inlineStr">
        <is>
          <t>A 41635-2026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46301</v>
      </c>
      <c r="E19" s="1" t="n">
        <v>46308</v>
      </c>
      <c r="F19" t="inlineStr">
        <is>
          <t>ÖSTERGÖTLANDS LÄN</t>
        </is>
      </c>
      <c r="G19" t="inlineStr">
        <is>
          <t>MJÖLBY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HYPERLINK("https://klasma.github.io/Logging_0586/artfynd/A 41635-2026 artfynd.xlsx", "A 41635-2026")</f>
        <v/>
      </c>
      <c r="X19">
        <f>HYPERLINK("https://klasma.github.io/Logging_0586/kartor/A 41635-2026 karta.png", "A 41635-2026")</f>
        <v/>
      </c>
      <c r="Y19">
        <f>HYPERLINK("https://klasma.github.io/Logging_0586/kartor_geotiff/A 41635-2026 georefererad karta.tif", "A 41635-2026")</f>
        <v/>
      </c>
      <c r="AA19">
        <f>HYPERLINK("https://klasma.github.io/Logging_0586/klagomål/A 41635-2026 FSC-klagomål.docx", "A 41635-2026")</f>
        <v/>
      </c>
      <c r="AB19">
        <f>HYPERLINK("https://klasma.github.io/Logging_0586/klagomålsmail/A 41635-2026 FSC-klagomål mail.docx", "A 41635-2026")</f>
        <v/>
      </c>
      <c r="AC19">
        <f>HYPERLINK("https://klasma.github.io/Logging_0586/tillsyn/A 41635-2026 tillsynsbegäran.docx", "A 41635-2026")</f>
        <v/>
      </c>
      <c r="AD19">
        <f>HYPERLINK("https://klasma.github.io/Logging_0586/tillsynsmail/A 41635-2026 tillsynsbegäran mail.docx", "A 41635-2026")</f>
        <v/>
      </c>
    </row>
    <row r="20" ht="15" customHeight="1">
      <c r="A20" t="inlineStr">
        <is>
          <t>A 22327-2024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46308</v>
      </c>
      <c r="F20" t="inlineStr">
        <is>
          <t>ÖSTERGÖTLANDS LÄN</t>
        </is>
      </c>
      <c r="G20" t="inlineStr">
        <is>
          <t>MJÖLBY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HYPERLINK("https://klasma.github.io/Logging_0586/artfynd/A 22327-2024 artfynd.xlsx", "A 22327-2024")</f>
        <v/>
      </c>
      <c r="X20">
        <f>HYPERLINK("https://klasma.github.io/Logging_0586/kartor/A 22327-2024 karta.png", "A 22327-2024")</f>
        <v/>
      </c>
      <c r="Y20">
        <f>HYPERLINK("https://klasma.github.io/Logging_0586/kartor_geotiff/A 22327-2024 georefererad karta.tif", "A 22327-2024")</f>
        <v/>
      </c>
      <c r="AA20">
        <f>HYPERLINK("https://klasma.github.io/Logging_0586/klagomål/A 22327-2024 FSC-klagomål.docx", "A 22327-2024")</f>
        <v/>
      </c>
      <c r="AB20">
        <f>HYPERLINK("https://klasma.github.io/Logging_0586/klagomålsmail/A 22327-2024 FSC-klagomål mail.docx", "A 22327-2024")</f>
        <v/>
      </c>
      <c r="AC20">
        <f>HYPERLINK("https://klasma.github.io/Logging_0586/tillsyn/A 22327-2024 tillsynsbegäran.docx", "A 22327-2024")</f>
        <v/>
      </c>
      <c r="AD20">
        <f>HYPERLINK("https://klasma.github.io/Logging_0586/tillsynsmail/A 22327-2024 tillsynsbegäran mail.docx", "A 22327-2024")</f>
        <v/>
      </c>
    </row>
    <row r="21" ht="15" customHeight="1">
      <c r="A21" t="inlineStr">
        <is>
          <t>A 60983-2023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45261</v>
      </c>
      <c r="E21" s="1" t="n">
        <v>46308</v>
      </c>
      <c r="F21" t="inlineStr">
        <is>
          <t>ÖSTERGÖTLANDS LÄN</t>
        </is>
      </c>
      <c r="G21" t="inlineStr">
        <is>
          <t>MJÖLBY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HYPERLINK("https://klasma.github.io/Logging_0586/artfynd/A 60983-2023 artfynd.xlsx", "A 60983-2023")</f>
        <v/>
      </c>
      <c r="X21">
        <f>HYPERLINK("https://klasma.github.io/Logging_0586/kartor/A 60983-2023 karta.png", "A 60983-2023")</f>
        <v/>
      </c>
      <c r="Y21">
        <f>HYPERLINK("https://klasma.github.io/Logging_0586/kartor_geotiff/A 60983-2023 georefererad karta.tif", "A 60983-2023")</f>
        <v/>
      </c>
      <c r="AA21">
        <f>HYPERLINK("https://klasma.github.io/Logging_0586/klagomål/A 60983-2023 FSC-klagomål.docx", "A 60983-2023")</f>
        <v/>
      </c>
      <c r="AB21">
        <f>HYPERLINK("https://klasma.github.io/Logging_0586/klagomålsmail/A 60983-2023 FSC-klagomål mail.docx", "A 60983-2023")</f>
        <v/>
      </c>
      <c r="AC21">
        <f>HYPERLINK("https://klasma.github.io/Logging_0586/tillsyn/A 60983-2023 tillsynsbegäran.docx", "A 60983-2023")</f>
        <v/>
      </c>
      <c r="AD21">
        <f>HYPERLINK("https://klasma.github.io/Logging_0586/tillsynsmail/A 60983-2023 tillsynsbegäran mail.docx", "A 60983-2023")</f>
        <v/>
      </c>
    </row>
    <row r="22" ht="15" customHeight="1">
      <c r="A22" t="inlineStr">
        <is>
          <t>A 9030-2022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44615</v>
      </c>
      <c r="E22" s="1" t="n">
        <v>46308</v>
      </c>
      <c r="F22" t="inlineStr">
        <is>
          <t>ÖSTERGÖTLANDS LÄN</t>
        </is>
      </c>
      <c r="G22" t="inlineStr">
        <is>
          <t>MJÖLBY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Skogsalm</t>
        </is>
      </c>
      <c r="W22">
        <f>HYPERLINK("https://klasma.github.io/Logging_0586/artfynd/A 9030-2022 artfynd.xlsx", "A 9030-2022")</f>
        <v/>
      </c>
      <c r="X22">
        <f>HYPERLINK("https://klasma.github.io/Logging_0586/kartor/A 9030-2022 karta.png", "A 9030-2022")</f>
        <v/>
      </c>
      <c r="Y22">
        <f>HYPERLINK("https://klasma.github.io/Logging_0586/kartor_geotiff/A 9030-2022 georefererad karta.tif", "A 9030-2022")</f>
        <v/>
      </c>
      <c r="AA22">
        <f>HYPERLINK("https://klasma.github.io/Logging_0586/klagomål/A 9030-2022 FSC-klagomål.docx", "A 9030-2022")</f>
        <v/>
      </c>
      <c r="AB22">
        <f>HYPERLINK("https://klasma.github.io/Logging_0586/klagomålsmail/A 9030-2022 FSC-klagomål mail.docx", "A 9030-2022")</f>
        <v/>
      </c>
      <c r="AC22">
        <f>HYPERLINK("https://klasma.github.io/Logging_0586/tillsyn/A 9030-2022 tillsynsbegäran.docx", "A 9030-2022")</f>
        <v/>
      </c>
      <c r="AD22">
        <f>HYPERLINK("https://klasma.github.io/Logging_0586/tillsynsmail/A 9030-2022 tillsynsbegäran mail.docx", "A 9030-2022")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46308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45164-2023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45191</v>
      </c>
      <c r="E24" s="1" t="n">
        <v>46308</v>
      </c>
      <c r="F24" t="inlineStr">
        <is>
          <t>ÖSTERGÖTLANDS LÄN</t>
        </is>
      </c>
      <c r="G24" t="inlineStr">
        <is>
          <t>MJÖLBY</t>
        </is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Skogsduva</t>
        </is>
      </c>
      <c r="W24">
        <f>HYPERLINK("https://klasma.github.io/Logging_0586/artfynd/A 45164-2023 artfynd.xlsx", "A 45164-2023")</f>
        <v/>
      </c>
      <c r="X24">
        <f>HYPERLINK("https://klasma.github.io/Logging_0586/kartor/A 45164-2023 karta.png", "A 45164-2023")</f>
        <v/>
      </c>
      <c r="Y24">
        <f>HYPERLINK("https://klasma.github.io/Logging_0586/kartor_geotiff/A 45164-2023 georefererad karta.tif", "A 45164-2023")</f>
        <v/>
      </c>
      <c r="AA24">
        <f>HYPERLINK("https://klasma.github.io/Logging_0586/klagomål/A 45164-2023 FSC-klagomål.docx", "A 45164-2023")</f>
        <v/>
      </c>
      <c r="AB24">
        <f>HYPERLINK("https://klasma.github.io/Logging_0586/klagomålsmail/A 45164-2023 FSC-klagomål mail.docx", "A 45164-2023")</f>
        <v/>
      </c>
      <c r="AC24">
        <f>HYPERLINK("https://klasma.github.io/Logging_0586/tillsyn/A 45164-2023 tillsynsbegäran.docx", "A 45164-2023")</f>
        <v/>
      </c>
      <c r="AD24">
        <f>HYPERLINK("https://klasma.github.io/Logging_0586/tillsynsmail/A 45164-2023 tillsynsbegäran mail.docx", "A 45164-2023")</f>
        <v/>
      </c>
    </row>
    <row r="25" ht="15" customHeight="1">
      <c r="A25" t="inlineStr">
        <is>
          <t>A 50403-2022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44866</v>
      </c>
      <c r="E25" s="1" t="n">
        <v>46308</v>
      </c>
      <c r="F25" t="inlineStr">
        <is>
          <t>ÖSTERGÖTLANDS LÄN</t>
        </is>
      </c>
      <c r="G25" t="inlineStr">
        <is>
          <t>MJÖLBY</t>
        </is>
      </c>
      <c r="H25" t="inlineStr">
        <is>
          <t>Sveaskog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1</v>
      </c>
      <c r="V25" s="2" t="inlineStr">
        <is>
          <t>Springkorn</t>
        </is>
      </c>
      <c r="W25">
        <f>HYPERLINK("https://klasma.github.io/Logging_0586/artfynd/A 50403-2022 artfynd.xlsx", "A 50403-2022")</f>
        <v/>
      </c>
      <c r="X25">
        <f>HYPERLINK("https://klasma.github.io/Logging_0586/kartor/A 50403-2022 karta.png", "A 50403-2022")</f>
        <v/>
      </c>
      <c r="Y25">
        <f>HYPERLINK("https://klasma.github.io/Logging_0586/kartor_geotiff/A 50403-2022 georefererad karta.tif", "A 50403-2022")</f>
        <v/>
      </c>
      <c r="AA25">
        <f>HYPERLINK("https://klasma.github.io/Logging_0586/klagomål/A 50403-2022 FSC-klagomål.docx", "A 50403-2022")</f>
        <v/>
      </c>
      <c r="AB25">
        <f>HYPERLINK("https://klasma.github.io/Logging_0586/klagomålsmail/A 50403-2022 FSC-klagomål mail.docx", "A 50403-2022")</f>
        <v/>
      </c>
      <c r="AC25">
        <f>HYPERLINK("https://klasma.github.io/Logging_0586/tillsyn/A 50403-2022 tillsynsbegäran.docx", "A 50403-2022")</f>
        <v/>
      </c>
      <c r="AD25">
        <f>HYPERLINK("https://klasma.github.io/Logging_0586/tillsynsmail/A 50403-2022 tillsynsbegäran mail.docx", "A 50403-2022")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46308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46308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46308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46308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19352-2022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44692</v>
      </c>
      <c r="E30" s="1" t="n">
        <v>46308</v>
      </c>
      <c r="F30" t="inlineStr">
        <is>
          <t>ÖSTERGÖTLANDS LÄN</t>
        </is>
      </c>
      <c r="G30" t="inlineStr">
        <is>
          <t>MJÖLBY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10950-2022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46308</v>
      </c>
      <c r="F31" t="inlineStr">
        <is>
          <t>ÖSTERGÖTLANDS LÄN</t>
        </is>
      </c>
      <c r="G31" t="inlineStr">
        <is>
          <t>MJÖLBY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35404-2023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46308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46308</v>
      </c>
      <c r="F33" t="inlineStr">
        <is>
          <t>ÖSTERGÖTLANDS LÄN</t>
        </is>
      </c>
      <c r="G33" t="inlineStr">
        <is>
          <t>MJÖLBY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50901-2024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46308</v>
      </c>
      <c r="F34" t="inlineStr">
        <is>
          <t>ÖSTERGÖTLANDS LÄN</t>
        </is>
      </c>
      <c r="G34" t="inlineStr">
        <is>
          <t>MJÖLBY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61012-2023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46308</v>
      </c>
      <c r="F35" t="inlineStr">
        <is>
          <t>ÖSTERGÖTLANDS LÄN</t>
        </is>
      </c>
      <c r="G35" t="inlineStr">
        <is>
          <t>MJÖLBY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43026-2025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45909</v>
      </c>
      <c r="E36" s="1" t="n">
        <v>46308</v>
      </c>
      <c r="F36" t="inlineStr">
        <is>
          <t>ÖSTERGÖTLANDS LÄN</t>
        </is>
      </c>
      <c r="G36" t="inlineStr">
        <is>
          <t>MJÖLBY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45909</v>
      </c>
      <c r="E37" s="1" t="n">
        <v>46308</v>
      </c>
      <c r="F37" t="inlineStr">
        <is>
          <t>ÖSTERGÖTLANDS LÄN</t>
        </is>
      </c>
      <c r="G37" t="inlineStr">
        <is>
          <t>MJÖLBY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25031-2026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46308</v>
      </c>
      <c r="F38" t="inlineStr">
        <is>
          <t>ÖSTERGÖTLANDS LÄN</t>
        </is>
      </c>
      <c r="G38" t="inlineStr">
        <is>
          <t>MJÖLBY</t>
        </is>
      </c>
      <c r="H38" t="inlineStr">
        <is>
          <t>Övriga Aktiebolag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46308</v>
      </c>
      <c r="F39" t="inlineStr">
        <is>
          <t>ÖSTERGÖTLANDS LÄN</t>
        </is>
      </c>
      <c r="G39" t="inlineStr">
        <is>
          <t>MJÖLBY</t>
        </is>
      </c>
      <c r="H39" t="inlineStr">
        <is>
          <t>Övriga Aktiebolag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24900-2026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46308</v>
      </c>
      <c r="F40" t="inlineStr">
        <is>
          <t>ÖSTERGÖTLANDS LÄN</t>
        </is>
      </c>
      <c r="G40" t="inlineStr">
        <is>
          <t>MJÖLBY</t>
        </is>
      </c>
      <c r="H40" t="inlineStr">
        <is>
          <t>Övriga Aktiebolag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24894-2026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46308</v>
      </c>
      <c r="F41" t="inlineStr">
        <is>
          <t>ÖSTERGÖTLANDS LÄN</t>
        </is>
      </c>
      <c r="G41" t="inlineStr">
        <is>
          <t>MJÖLBY</t>
        </is>
      </c>
      <c r="H41" t="inlineStr">
        <is>
          <t>Övriga Aktiebolag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24888-2026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46308</v>
      </c>
      <c r="F42" t="inlineStr">
        <is>
          <t>ÖSTERGÖTLANDS LÄN</t>
        </is>
      </c>
      <c r="G42" t="inlineStr">
        <is>
          <t>MJÖLBY</t>
        </is>
      </c>
      <c r="H42" t="inlineStr">
        <is>
          <t>Övriga Aktiebolag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24896-2026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46308</v>
      </c>
      <c r="F43" t="inlineStr">
        <is>
          <t>ÖSTERGÖTLANDS LÄN</t>
        </is>
      </c>
      <c r="G43" t="inlineStr">
        <is>
          <t>MJÖLBY</t>
        </is>
      </c>
      <c r="H43" t="inlineStr">
        <is>
          <t>Övriga Aktiebolag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46174</v>
      </c>
      <c r="E44" s="1" t="n">
        <v>46308</v>
      </c>
      <c r="F44" t="inlineStr">
        <is>
          <t>ÖSTERGÖTLANDS LÄN</t>
        </is>
      </c>
      <c r="G44" t="inlineStr">
        <is>
          <t>MJÖLBY</t>
        </is>
      </c>
      <c r="H44" t="inlineStr">
        <is>
          <t>Övriga Aktiebolag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45020</v>
      </c>
      <c r="E45" s="1" t="n">
        <v>46308</v>
      </c>
      <c r="F45" t="inlineStr">
        <is>
          <t>ÖSTERGÖTLANDS LÄN</t>
        </is>
      </c>
      <c r="G45" t="inlineStr">
        <is>
          <t>MJÖLBY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46308</v>
      </c>
      <c r="F46" t="inlineStr">
        <is>
          <t>ÖSTERGÖTLANDS LÄN</t>
        </is>
      </c>
      <c r="G46" t="inlineStr">
        <is>
          <t>MJÖLBY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35447-2023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46308</v>
      </c>
      <c r="F47" t="inlineStr">
        <is>
          <t>ÖSTERGÖTLANDS LÄN</t>
        </is>
      </c>
      <c r="G47" t="inlineStr">
        <is>
          <t>MJÖLBY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45293</v>
      </c>
      <c r="E48" s="1" t="n">
        <v>46308</v>
      </c>
      <c r="F48" t="inlineStr">
        <is>
          <t>ÖSTERGÖTLANDS LÄN</t>
        </is>
      </c>
      <c r="G48" t="inlineStr">
        <is>
          <t>MJÖLBY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46164-2025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45924</v>
      </c>
      <c r="E49" s="1" t="n">
        <v>46308</v>
      </c>
      <c r="F49" t="inlineStr">
        <is>
          <t>ÖSTERGÖTLANDS LÄN</t>
        </is>
      </c>
      <c r="G49" t="inlineStr">
        <is>
          <t>MJÖLBY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45924</v>
      </c>
      <c r="E50" s="1" t="n">
        <v>46308</v>
      </c>
      <c r="F50" t="inlineStr">
        <is>
          <t>ÖSTERGÖTLANDS LÄN</t>
        </is>
      </c>
      <c r="G50" t="inlineStr">
        <is>
          <t>MJÖLBY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25503-2026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46308</v>
      </c>
      <c r="F51" t="inlineStr">
        <is>
          <t>ÖSTERGÖTLANDS LÄN</t>
        </is>
      </c>
      <c r="G51" t="inlineStr">
        <is>
          <t>MJÖLBY</t>
        </is>
      </c>
      <c r="H51" t="inlineStr">
        <is>
          <t>Övriga Aktiebolag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45924</v>
      </c>
      <c r="E52" s="1" t="n">
        <v>46308</v>
      </c>
      <c r="F52" t="inlineStr">
        <is>
          <t>ÖSTERGÖTLANDS LÄN</t>
        </is>
      </c>
      <c r="G52" t="inlineStr">
        <is>
          <t>MJÖLBY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45926</v>
      </c>
      <c r="E53" s="1" t="n">
        <v>46308</v>
      </c>
      <c r="F53" t="inlineStr">
        <is>
          <t>ÖSTERGÖTLANDS LÄN</t>
        </is>
      </c>
      <c r="G53" t="inlineStr">
        <is>
          <t>MJÖLBY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27126-2026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46188</v>
      </c>
      <c r="E54" s="1" t="n">
        <v>46308</v>
      </c>
      <c r="F54" t="inlineStr">
        <is>
          <t>ÖSTERGÖTLANDS LÄN</t>
        </is>
      </c>
      <c r="G54" t="inlineStr">
        <is>
          <t>MJÖLBY</t>
        </is>
      </c>
      <c r="H54" t="inlineStr">
        <is>
          <t>Övriga Aktiebolag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46308</v>
      </c>
      <c r="F55" t="inlineStr">
        <is>
          <t>ÖSTERGÖTLANDS LÄN</t>
        </is>
      </c>
      <c r="G55" t="inlineStr">
        <is>
          <t>MJÖLBY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51326-2025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45950</v>
      </c>
      <c r="E56" s="1" t="n">
        <v>46308</v>
      </c>
      <c r="F56" t="inlineStr">
        <is>
          <t>ÖSTERGÖTLANDS LÄN</t>
        </is>
      </c>
      <c r="G56" t="inlineStr">
        <is>
          <t>MJÖLBY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46308</v>
      </c>
      <c r="F57" t="inlineStr">
        <is>
          <t>ÖSTERGÖTLANDS LÄN</t>
        </is>
      </c>
      <c r="G57" t="inlineStr">
        <is>
          <t>MJÖLBY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51335-2025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45950</v>
      </c>
      <c r="E58" s="1" t="n">
        <v>46308</v>
      </c>
      <c r="F58" t="inlineStr">
        <is>
          <t>ÖSTERGÖTLANDS LÄN</t>
        </is>
      </c>
      <c r="G58" t="inlineStr">
        <is>
          <t>MJÖLBY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46308</v>
      </c>
      <c r="F59" t="inlineStr">
        <is>
          <t>ÖSTERGÖTLANDS LÄN</t>
        </is>
      </c>
      <c r="G59" t="inlineStr">
        <is>
          <t>MJÖLBY</t>
        </is>
      </c>
      <c r="H59" t="inlineStr">
        <is>
          <t>Allmännings- och besparingsskogar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45602</v>
      </c>
      <c r="E60" s="1" t="n">
        <v>46308</v>
      </c>
      <c r="F60" t="inlineStr">
        <is>
          <t>ÖSTERGÖTLANDS LÄN</t>
        </is>
      </c>
      <c r="G60" t="inlineStr">
        <is>
          <t>MJÖLBY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28652-2026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46308</v>
      </c>
      <c r="F61" t="inlineStr">
        <is>
          <t>ÖSTERGÖTLANDS LÄN</t>
        </is>
      </c>
      <c r="G61" t="inlineStr">
        <is>
          <t>MJÖLBY</t>
        </is>
      </c>
      <c r="H61" t="inlineStr">
        <is>
          <t>Övriga Aktiebolag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14210-2023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45009</v>
      </c>
      <c r="E62" s="1" t="n">
        <v>46308</v>
      </c>
      <c r="F62" t="inlineStr">
        <is>
          <t>ÖSTERGÖTLANDS LÄN</t>
        </is>
      </c>
      <c r="G62" t="inlineStr">
        <is>
          <t>MJÖLBY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15276-2022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44659</v>
      </c>
      <c r="E63" s="1" t="n">
        <v>46308</v>
      </c>
      <c r="F63" t="inlineStr">
        <is>
          <t>ÖSTERGÖTLANDS LÄN</t>
        </is>
      </c>
      <c r="G63" t="inlineStr">
        <is>
          <t>MJÖLBY</t>
        </is>
      </c>
      <c r="H63" t="inlineStr">
        <is>
          <t>Kyrkan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45037</v>
      </c>
      <c r="E64" s="1" t="n">
        <v>46308</v>
      </c>
      <c r="F64" t="inlineStr">
        <is>
          <t>ÖSTERGÖTLANDS LÄN</t>
        </is>
      </c>
      <c r="G64" t="inlineStr">
        <is>
          <t>MJÖLBY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28525-2026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46197</v>
      </c>
      <c r="E65" s="1" t="n">
        <v>46308</v>
      </c>
      <c r="F65" t="inlineStr">
        <is>
          <t>ÖSTERGÖTLANDS LÄN</t>
        </is>
      </c>
      <c r="G65" t="inlineStr">
        <is>
          <t>MJÖLBY</t>
        </is>
      </c>
      <c r="H65" t="inlineStr">
        <is>
          <t>Övriga Aktiebolag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45581</v>
      </c>
      <c r="E66" s="1" t="n">
        <v>46308</v>
      </c>
      <c r="F66" t="inlineStr">
        <is>
          <t>ÖSTERGÖTLANDS LÄN</t>
        </is>
      </c>
      <c r="G66" t="inlineStr">
        <is>
          <t>MJÖLBY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44769-2025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45917</v>
      </c>
      <c r="E67" s="1" t="n">
        <v>46308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45261</v>
      </c>
      <c r="E68" s="1" t="n">
        <v>46308</v>
      </c>
      <c r="F68" t="inlineStr">
        <is>
          <t>ÖSTERGÖTLANDS LÄN</t>
        </is>
      </c>
      <c r="G68" t="inlineStr">
        <is>
          <t>MJÖLBY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44770-2025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45917</v>
      </c>
      <c r="E69" s="1" t="n">
        <v>46308</v>
      </c>
      <c r="F69" t="inlineStr">
        <is>
          <t>ÖSTERGÖTLANDS LÄN</t>
        </is>
      </c>
      <c r="G69" t="inlineStr">
        <is>
          <t>MJÖLBY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34664-2024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45526</v>
      </c>
      <c r="E70" s="1" t="n">
        <v>46308</v>
      </c>
      <c r="F70" t="inlineStr">
        <is>
          <t>ÖSTERGÖTLANDS LÄN</t>
        </is>
      </c>
      <c r="G70" t="inlineStr">
        <is>
          <t>MJÖLBY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55939-2025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46308</v>
      </c>
      <c r="F71" t="inlineStr">
        <is>
          <t>ÖSTERGÖTLANDS LÄN</t>
        </is>
      </c>
      <c r="G71" t="inlineStr">
        <is>
          <t>MJÖLBY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45539</v>
      </c>
      <c r="E72" s="1" t="n">
        <v>46308</v>
      </c>
      <c r="F72" t="inlineStr">
        <is>
          <t>ÖSTERGÖTLANDS LÄN</t>
        </is>
      </c>
      <c r="G72" t="inlineStr">
        <is>
          <t>MJÖLBY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46308</v>
      </c>
      <c r="F73" t="inlineStr">
        <is>
          <t>ÖSTERGÖTLANDS LÄN</t>
        </is>
      </c>
      <c r="G73" t="inlineStr">
        <is>
          <t>MJÖLBY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46308</v>
      </c>
      <c r="F74" t="inlineStr">
        <is>
          <t>ÖSTERGÖTLANDS LÄN</t>
        </is>
      </c>
      <c r="G74" t="inlineStr">
        <is>
          <t>MJÖLBY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46308</v>
      </c>
      <c r="F75" t="inlineStr">
        <is>
          <t>ÖSTERGÖTLANDS LÄN</t>
        </is>
      </c>
      <c r="G75" t="inlineStr">
        <is>
          <t>MJÖLBY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45979</v>
      </c>
      <c r="E76" s="1" t="n">
        <v>46308</v>
      </c>
      <c r="F76" t="inlineStr">
        <is>
          <t>ÖSTERGÖTLANDS LÄN</t>
        </is>
      </c>
      <c r="G76" t="inlineStr">
        <is>
          <t>MJÖLBY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38278-2024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45545</v>
      </c>
      <c r="E77" s="1" t="n">
        <v>46308</v>
      </c>
      <c r="F77" t="inlineStr">
        <is>
          <t>ÖSTERGÖTLANDS LÄN</t>
        </is>
      </c>
      <c r="G77" t="inlineStr">
        <is>
          <t>MJÖLBY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23114-2025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46308</v>
      </c>
      <c r="F78" t="inlineStr">
        <is>
          <t>ÖSTERGÖTLANDS LÄN</t>
        </is>
      </c>
      <c r="G78" t="inlineStr">
        <is>
          <t>MJÖLBY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46308</v>
      </c>
      <c r="F79" t="inlineStr">
        <is>
          <t>ÖSTERGÖTLANDS LÄN</t>
        </is>
      </c>
      <c r="G79" t="inlineStr">
        <is>
          <t>MJÖLBY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45314</v>
      </c>
      <c r="E80" s="1" t="n">
        <v>46308</v>
      </c>
      <c r="F80" t="inlineStr">
        <is>
          <t>ÖSTERGÖTLANDS LÄN</t>
        </is>
      </c>
      <c r="G80" t="inlineStr">
        <is>
          <t>MJÖLBY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45982</v>
      </c>
      <c r="E81" s="1" t="n">
        <v>46308</v>
      </c>
      <c r="F81" t="inlineStr">
        <is>
          <t>ÖSTERGÖTLANDS LÄN</t>
        </is>
      </c>
      <c r="G81" t="inlineStr">
        <is>
          <t>MJÖLBY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31161-2026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46216</v>
      </c>
      <c r="E82" s="1" t="n">
        <v>46308</v>
      </c>
      <c r="F82" t="inlineStr">
        <is>
          <t>ÖSTERGÖTLANDS LÄN</t>
        </is>
      </c>
      <c r="G82" t="inlineStr">
        <is>
          <t>MJÖLBY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45985</v>
      </c>
      <c r="E83" s="1" t="n">
        <v>46308</v>
      </c>
      <c r="F83" t="inlineStr">
        <is>
          <t>ÖSTERGÖTLANDS LÄN</t>
        </is>
      </c>
      <c r="G83" t="inlineStr">
        <is>
          <t>MJÖLBY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46308</v>
      </c>
      <c r="F84" t="inlineStr">
        <is>
          <t>ÖSTERGÖTLANDS LÄN</t>
        </is>
      </c>
      <c r="G84" t="inlineStr">
        <is>
          <t>MJÖLBY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31193-2026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46217</v>
      </c>
      <c r="E85" s="1" t="n">
        <v>46308</v>
      </c>
      <c r="F85" t="inlineStr">
        <is>
          <t>ÖSTERGÖTLANDS LÄN</t>
        </is>
      </c>
      <c r="G85" t="inlineStr">
        <is>
          <t>MJÖLBY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46308</v>
      </c>
      <c r="F86" t="inlineStr">
        <is>
          <t>ÖSTERGÖTLANDS LÄN</t>
        </is>
      </c>
      <c r="G86" t="inlineStr">
        <is>
          <t>MJÖLBY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31192-2026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46217</v>
      </c>
      <c r="E87" s="1" t="n">
        <v>46308</v>
      </c>
      <c r="F87" t="inlineStr">
        <is>
          <t>ÖSTERGÖTLANDS LÄN</t>
        </is>
      </c>
      <c r="G87" t="inlineStr">
        <is>
          <t>MJÖLBY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46308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45988</v>
      </c>
      <c r="E89" s="1" t="n">
        <v>46308</v>
      </c>
      <c r="F89" t="inlineStr">
        <is>
          <t>ÖSTERGÖTLANDS LÄN</t>
        </is>
      </c>
      <c r="G89" t="inlineStr">
        <is>
          <t>MJÖLBY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46308</v>
      </c>
      <c r="F90" t="inlineStr">
        <is>
          <t>ÖSTERGÖTLANDS LÄN</t>
        </is>
      </c>
      <c r="G90" t="inlineStr">
        <is>
          <t>MJÖLBY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36206-2026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46267</v>
      </c>
      <c r="E91" s="1" t="n">
        <v>46308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24499-2025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46308</v>
      </c>
      <c r="F92" t="inlineStr">
        <is>
          <t>ÖSTERGÖTLANDS LÄN</t>
        </is>
      </c>
      <c r="G92" t="inlineStr">
        <is>
          <t>MJÖLBY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46267</v>
      </c>
      <c r="E93" s="1" t="n">
        <v>46308</v>
      </c>
      <c r="F93" t="inlineStr">
        <is>
          <t>ÖSTERGÖTLANDS LÄN</t>
        </is>
      </c>
      <c r="G93" t="inlineStr">
        <is>
          <t>MJÖLBY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46308</v>
      </c>
      <c r="F94" t="inlineStr">
        <is>
          <t>ÖSTERGÖTLANDS LÄN</t>
        </is>
      </c>
      <c r="G94" t="inlineStr">
        <is>
          <t>MJÖLBY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46308</v>
      </c>
      <c r="F95" t="inlineStr">
        <is>
          <t>ÖSTERGÖTLANDS LÄN</t>
        </is>
      </c>
      <c r="G95" t="inlineStr">
        <is>
          <t>MJÖLBY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46258</v>
      </c>
      <c r="E96" s="1" t="n">
        <v>46308</v>
      </c>
      <c r="F96" t="inlineStr">
        <is>
          <t>ÖSTERGÖTLANDS LÄN</t>
        </is>
      </c>
      <c r="G96" t="inlineStr">
        <is>
          <t>MJÖLBY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46274</v>
      </c>
      <c r="E97" s="1" t="n">
        <v>46308</v>
      </c>
      <c r="F97" t="inlineStr">
        <is>
          <t>ÖSTERGÖTLANDS LÄN</t>
        </is>
      </c>
      <c r="G97" t="inlineStr">
        <is>
          <t>MJÖLBY</t>
        </is>
      </c>
      <c r="H97" t="inlineStr">
        <is>
          <t>Kyrkan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27232-2025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45812</v>
      </c>
      <c r="E98" s="1" t="n">
        <v>46308</v>
      </c>
      <c r="F98" t="inlineStr">
        <is>
          <t>ÖSTERGÖTLANDS LÄN</t>
        </is>
      </c>
      <c r="G98" t="inlineStr">
        <is>
          <t>MJÖLBY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46308</v>
      </c>
      <c r="F99" t="inlineStr">
        <is>
          <t>ÖSTERGÖTLANDS LÄN</t>
        </is>
      </c>
      <c r="G99" t="inlineStr">
        <is>
          <t>MJÖLBY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37355-2026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46275</v>
      </c>
      <c r="E100" s="1" t="n">
        <v>46308</v>
      </c>
      <c r="F100" t="inlineStr">
        <is>
          <t>ÖSTERGÖTLANDS LÄN</t>
        </is>
      </c>
      <c r="G100" t="inlineStr">
        <is>
          <t>MJÖLBY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37174-2026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46274</v>
      </c>
      <c r="E101" s="1" t="n">
        <v>46308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Kyrkan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31928-2026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46308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37353-2026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46275</v>
      </c>
      <c r="E103" s="1" t="n">
        <v>46308</v>
      </c>
      <c r="F103" t="inlineStr">
        <is>
          <t>ÖSTERGÖTLANDS LÄN</t>
        </is>
      </c>
      <c r="G103" t="inlineStr">
        <is>
          <t>MJÖLBY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31929-2026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46308</v>
      </c>
      <c r="F104" t="inlineStr">
        <is>
          <t>ÖSTERGÖTLANDS LÄN</t>
        </is>
      </c>
      <c r="G104" t="inlineStr">
        <is>
          <t>MJÖLBY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46232</v>
      </c>
      <c r="E105" s="1" t="n">
        <v>46308</v>
      </c>
      <c r="F105" t="inlineStr">
        <is>
          <t>ÖSTERGÖTLANDS LÄN</t>
        </is>
      </c>
      <c r="G105" t="inlineStr">
        <is>
          <t>MJÖLBY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28663-2025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46308</v>
      </c>
      <c r="F106" t="inlineStr">
        <is>
          <t>ÖSTERGÖTLANDS LÄN</t>
        </is>
      </c>
      <c r="G106" t="inlineStr">
        <is>
          <t>MJÖLBY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46013</v>
      </c>
      <c r="E107" s="1" t="n">
        <v>46308</v>
      </c>
      <c r="F107" t="inlineStr">
        <is>
          <t>ÖSTERGÖTLANDS LÄN</t>
        </is>
      </c>
      <c r="G107" t="inlineStr">
        <is>
          <t>MJÖLBY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46279</v>
      </c>
      <c r="E108" s="1" t="n">
        <v>46308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Kyrkan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46195</v>
      </c>
      <c r="E109" s="1" t="n">
        <v>46308</v>
      </c>
      <c r="F109" t="inlineStr">
        <is>
          <t>ÖSTERGÖTLANDS LÄN</t>
        </is>
      </c>
      <c r="G109" t="inlineStr">
        <is>
          <t>MJÖLBY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46308</v>
      </c>
      <c r="F110" t="inlineStr">
        <is>
          <t>ÖSTERGÖTLANDS LÄN</t>
        </is>
      </c>
      <c r="G110" t="inlineStr">
        <is>
          <t>MJÖLBY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45834</v>
      </c>
      <c r="E111" s="1" t="n">
        <v>46308</v>
      </c>
      <c r="F111" t="inlineStr">
        <is>
          <t>ÖSTERGÖTLANDS LÄN</t>
        </is>
      </c>
      <c r="G111" t="inlineStr">
        <is>
          <t>MJÖLBY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45834</v>
      </c>
      <c r="E112" s="1" t="n">
        <v>46308</v>
      </c>
      <c r="F112" t="inlineStr">
        <is>
          <t>ÖSTERGÖTLANDS LÄN</t>
        </is>
      </c>
      <c r="G112" t="inlineStr">
        <is>
          <t>MJÖLBY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46308</v>
      </c>
      <c r="F113" t="inlineStr">
        <is>
          <t>ÖSTERGÖTLANDS LÄN</t>
        </is>
      </c>
      <c r="G113" t="inlineStr">
        <is>
          <t>MJÖLBY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46239</v>
      </c>
      <c r="E114" s="1" t="n">
        <v>46308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46239</v>
      </c>
      <c r="E115" s="1" t="n">
        <v>46308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Övriga Aktiebolag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32564-2026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46239</v>
      </c>
      <c r="E116" s="1" t="n">
        <v>46308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45216</v>
      </c>
      <c r="E117" s="1" t="n">
        <v>46308</v>
      </c>
      <c r="F117" t="inlineStr">
        <is>
          <t>ÖSTERGÖTLANDS LÄN</t>
        </is>
      </c>
      <c r="G117" t="inlineStr">
        <is>
          <t>MJÖLBY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46308</v>
      </c>
      <c r="F118" t="inlineStr">
        <is>
          <t>ÖSTERGÖTLANDS LÄN</t>
        </is>
      </c>
      <c r="G118" t="inlineStr">
        <is>
          <t>MJÖLBY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46286</v>
      </c>
      <c r="E119" s="1" t="n">
        <v>46308</v>
      </c>
      <c r="F119" t="inlineStr">
        <is>
          <t>ÖSTERGÖTLANDS LÄN</t>
        </is>
      </c>
      <c r="G119" t="inlineStr">
        <is>
          <t>MJÖLBY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46048</v>
      </c>
      <c r="E120" s="1" t="n">
        <v>46308</v>
      </c>
      <c r="F120" t="inlineStr">
        <is>
          <t>ÖSTERGÖTLANDS LÄN</t>
        </is>
      </c>
      <c r="G120" t="inlineStr">
        <is>
          <t>MJÖLBY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37806-2022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44810</v>
      </c>
      <c r="E121" s="1" t="n">
        <v>46308</v>
      </c>
      <c r="F121" t="inlineStr">
        <is>
          <t>ÖSTERGÖTLANDS LÄN</t>
        </is>
      </c>
      <c r="G121" t="inlineStr">
        <is>
          <t>MJÖLBY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46308</v>
      </c>
      <c r="F122" t="inlineStr">
        <is>
          <t>ÖSTERGÖTLANDS LÄN</t>
        </is>
      </c>
      <c r="G122" t="inlineStr">
        <is>
          <t>MJÖLBY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45161</v>
      </c>
      <c r="E123" s="1" t="n">
        <v>46308</v>
      </c>
      <c r="F123" t="inlineStr">
        <is>
          <t>ÖSTERGÖTLANDS LÄN</t>
        </is>
      </c>
      <c r="G123" t="inlineStr">
        <is>
          <t>MJÖLBY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43012-2024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45567</v>
      </c>
      <c r="E124" s="1" t="n">
        <v>46308</v>
      </c>
      <c r="F124" t="inlineStr">
        <is>
          <t>ÖSTERGÖTLANDS LÄN</t>
        </is>
      </c>
      <c r="G124" t="inlineStr">
        <is>
          <t>MJÖLBY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33010-2026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46244</v>
      </c>
      <c r="E125" s="1" t="n">
        <v>46308</v>
      </c>
      <c r="F125" t="inlineStr">
        <is>
          <t>ÖSTERGÖTLANDS LÄN</t>
        </is>
      </c>
      <c r="G125" t="inlineStr">
        <is>
          <t>MJÖLBY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37802-2022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44810</v>
      </c>
      <c r="E126" s="1" t="n">
        <v>46308</v>
      </c>
      <c r="F126" t="inlineStr">
        <is>
          <t>ÖSTERGÖTLANDS LÄN</t>
        </is>
      </c>
      <c r="G126" t="inlineStr">
        <is>
          <t>MJÖLBY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72563-2021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44546</v>
      </c>
      <c r="E127" s="1" t="n">
        <v>46308</v>
      </c>
      <c r="F127" t="inlineStr">
        <is>
          <t>ÖSTERGÖTLANDS LÄN</t>
        </is>
      </c>
      <c r="G127" t="inlineStr">
        <is>
          <t>MJÖLBY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46275</v>
      </c>
      <c r="E128" s="1" t="n">
        <v>46308</v>
      </c>
      <c r="F128" t="inlineStr">
        <is>
          <t>ÖSTERGÖTLANDS LÄN</t>
        </is>
      </c>
      <c r="G128" t="inlineStr">
        <is>
          <t>MJÖLBY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37367-2026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46275</v>
      </c>
      <c r="E129" s="1" t="n">
        <v>46308</v>
      </c>
      <c r="F129" t="inlineStr">
        <is>
          <t>ÖSTERGÖTLANDS LÄN</t>
        </is>
      </c>
      <c r="G129" t="inlineStr">
        <is>
          <t>MJÖLBY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46290</v>
      </c>
      <c r="E130" s="1" t="n">
        <v>46308</v>
      </c>
      <c r="F130" t="inlineStr">
        <is>
          <t>ÖSTERGÖTLANDS LÄN</t>
        </is>
      </c>
      <c r="G130" t="inlineStr">
        <is>
          <t>MJÖLBY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46290</v>
      </c>
      <c r="E131" s="1" t="n">
        <v>46308</v>
      </c>
      <c r="F131" t="inlineStr">
        <is>
          <t>ÖSTERGÖTLANDS LÄN</t>
        </is>
      </c>
      <c r="G131" t="inlineStr">
        <is>
          <t>MJÖLBY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46308</v>
      </c>
      <c r="F132" t="inlineStr">
        <is>
          <t>ÖSTERGÖTLANDS LÄN</t>
        </is>
      </c>
      <c r="G132" t="inlineStr">
        <is>
          <t>MJÖLBY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46079</v>
      </c>
      <c r="E133" s="1" t="n">
        <v>46308</v>
      </c>
      <c r="F133" t="inlineStr">
        <is>
          <t>ÖSTERGÖTLANDS LÄN</t>
        </is>
      </c>
      <c r="G133" t="inlineStr">
        <is>
          <t>MJÖLBY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46253</v>
      </c>
      <c r="E134" s="1" t="n">
        <v>46308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45446</v>
      </c>
      <c r="E135" s="1" t="n">
        <v>46308</v>
      </c>
      <c r="F135" t="inlineStr">
        <is>
          <t>ÖSTERGÖTLANDS LÄN</t>
        </is>
      </c>
      <c r="G135" t="inlineStr">
        <is>
          <t>MJÖLBY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15032-2026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46104</v>
      </c>
      <c r="E136" s="1" t="n">
        <v>46308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14928-2026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46104</v>
      </c>
      <c r="E137" s="1" t="n">
        <v>46308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46308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34172-2026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46253</v>
      </c>
      <c r="E139" s="1" t="n">
        <v>46308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46300</v>
      </c>
      <c r="E140" s="1" t="n">
        <v>46308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46300</v>
      </c>
      <c r="E141" s="1" t="n">
        <v>46308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Sveaskog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64930-2023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45282</v>
      </c>
      <c r="E142" s="1" t="n">
        <v>46308</v>
      </c>
      <c r="F142" t="inlineStr">
        <is>
          <t>ÖSTERGÖTLANDS LÄN</t>
        </is>
      </c>
      <c r="G142" t="inlineStr">
        <is>
          <t>MJÖLBY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46258</v>
      </c>
      <c r="E143" s="1" t="n">
        <v>46308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46108</v>
      </c>
      <c r="E144" s="1" t="n">
        <v>46308</v>
      </c>
      <c r="F144" t="inlineStr">
        <is>
          <t>ÖSTERGÖTLANDS LÄN</t>
        </is>
      </c>
      <c r="G144" t="inlineStr">
        <is>
          <t>MJÖLBY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46308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46308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34794-2026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46258</v>
      </c>
      <c r="E147" s="1" t="n">
        <v>46308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46300</v>
      </c>
      <c r="E148" s="1" t="n">
        <v>46308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Sveaskog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46308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46308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46303</v>
      </c>
      <c r="E151" s="1" t="n">
        <v>46308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45161</v>
      </c>
      <c r="E152" s="1" t="n">
        <v>46308</v>
      </c>
      <c r="F152" t="inlineStr">
        <is>
          <t>ÖSTERGÖTLANDS LÄN</t>
        </is>
      </c>
      <c r="G152" t="inlineStr">
        <is>
          <t>MJÖLBY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46302</v>
      </c>
      <c r="E153" s="1" t="n">
        <v>46308</v>
      </c>
      <c r="F153" t="inlineStr">
        <is>
          <t>ÖSTERGÖTLANDS LÄN</t>
        </is>
      </c>
      <c r="G153" t="inlineStr">
        <is>
          <t>MJÖLBY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18517-2026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46127</v>
      </c>
      <c r="E154" s="1" t="n">
        <v>46308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46308</v>
      </c>
      <c r="F155" t="inlineStr">
        <is>
          <t>ÖSTERGÖTLANDS LÄN</t>
        </is>
      </c>
      <c r="G155" t="inlineStr">
        <is>
          <t>MJÖLBY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46308</v>
      </c>
      <c r="F156" t="inlineStr">
        <is>
          <t>ÖSTERGÖTLANDS LÄN</t>
        </is>
      </c>
      <c r="G156" t="inlineStr">
        <is>
          <t>MJÖLBY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44980</v>
      </c>
      <c r="E157" s="1" t="n">
        <v>46308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Kyrkan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46308</v>
      </c>
      <c r="F158" t="inlineStr">
        <is>
          <t>ÖSTERGÖTLANDS LÄN</t>
        </is>
      </c>
      <c r="G158" t="inlineStr">
        <is>
          <t>MJÖLBY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44879</v>
      </c>
      <c r="E159" s="1" t="n">
        <v>46308</v>
      </c>
      <c r="F159" t="inlineStr">
        <is>
          <t>ÖSTERGÖTLANDS LÄN</t>
        </is>
      </c>
      <c r="G159" t="inlineStr">
        <is>
          <t>MJÖLBY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46308</v>
      </c>
      <c r="F160" t="inlineStr">
        <is>
          <t>ÖSTERGÖTLANDS LÄN</t>
        </is>
      </c>
      <c r="G160" t="inlineStr">
        <is>
          <t>MJÖLBY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45892</v>
      </c>
      <c r="E161" s="1" t="n">
        <v>46308</v>
      </c>
      <c r="F161" t="inlineStr">
        <is>
          <t>ÖSTERGÖTLANDS LÄN</t>
        </is>
      </c>
      <c r="G161" t="inlineStr">
        <is>
          <t>MJÖLBY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15783-2022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44663</v>
      </c>
      <c r="E162" s="1" t="n">
        <v>46308</v>
      </c>
      <c r="F162" t="inlineStr">
        <is>
          <t>ÖSTERGÖTLANDS LÄN</t>
        </is>
      </c>
      <c r="G162" t="inlineStr">
        <is>
          <t>MJÖLBY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46308</v>
      </c>
      <c r="F163" t="inlineStr">
        <is>
          <t>ÖSTERGÖTLANDS LÄN</t>
        </is>
      </c>
      <c r="G163" t="inlineStr">
        <is>
          <t>MJÖLBY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46308</v>
      </c>
      <c r="F164" t="inlineStr">
        <is>
          <t>ÖSTERGÖTLANDS LÄN</t>
        </is>
      </c>
      <c r="G164" t="inlineStr">
        <is>
          <t>MJÖLBY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50179-2023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46308</v>
      </c>
      <c r="F165" t="inlineStr">
        <is>
          <t>ÖSTERGÖTLANDS LÄN</t>
        </is>
      </c>
      <c r="G165" t="inlineStr">
        <is>
          <t>MJÖLBY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51475-2023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45221</v>
      </c>
      <c r="E166" s="1" t="n">
        <v>46308</v>
      </c>
      <c r="F166" t="inlineStr">
        <is>
          <t>ÖSTERGÖTLANDS LÄN</t>
        </is>
      </c>
      <c r="G166" t="inlineStr">
        <is>
          <t>MJÖLBY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44971</v>
      </c>
      <c r="E167" s="1" t="n">
        <v>46308</v>
      </c>
      <c r="F167" t="inlineStr">
        <is>
          <t>ÖSTERGÖTLANDS LÄN</t>
        </is>
      </c>
      <c r="G167" t="inlineStr">
        <is>
          <t>MJÖLBY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46308</v>
      </c>
      <c r="F168" t="inlineStr">
        <is>
          <t>ÖSTERGÖTLANDS LÄN</t>
        </is>
      </c>
      <c r="G168" t="inlineStr">
        <is>
          <t>MJÖLBY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44768</v>
      </c>
      <c r="E169" s="1" t="n">
        <v>46308</v>
      </c>
      <c r="F169" t="inlineStr">
        <is>
          <t>ÖSTERGÖTLANDS LÄN</t>
        </is>
      </c>
      <c r="G169" t="inlineStr">
        <is>
          <t>MJÖLBY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46308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Kommuner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45250</v>
      </c>
      <c r="E171" s="1" t="n">
        <v>46308</v>
      </c>
      <c r="F171" t="inlineStr">
        <is>
          <t>ÖSTERGÖTLANDS LÄN</t>
        </is>
      </c>
      <c r="G171" t="inlineStr">
        <is>
          <t>MJÖLBY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63449-2023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45273</v>
      </c>
      <c r="E172" s="1" t="n">
        <v>46308</v>
      </c>
      <c r="F172" t="inlineStr">
        <is>
          <t>ÖSTERGÖTLANDS LÄN</t>
        </is>
      </c>
      <c r="G172" t="inlineStr">
        <is>
          <t>MJÖLBY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21518-2026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46148</v>
      </c>
      <c r="E173" s="1" t="n">
        <v>46308</v>
      </c>
      <c r="F173" t="inlineStr">
        <is>
          <t>ÖSTERGÖTLANDS LÄN</t>
        </is>
      </c>
      <c r="G173" t="inlineStr">
        <is>
          <t>MJÖLBY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46308</v>
      </c>
      <c r="F174" t="inlineStr">
        <is>
          <t>ÖSTERGÖTLANDS LÄN</t>
        </is>
      </c>
      <c r="G174" t="inlineStr">
        <is>
          <t>MJÖLBY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46308</v>
      </c>
      <c r="F175" t="inlineStr">
        <is>
          <t>ÖSTERGÖTLANDS LÄN</t>
        </is>
      </c>
      <c r="G175" t="inlineStr">
        <is>
          <t>MJÖLBY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46308</v>
      </c>
      <c r="F176" t="inlineStr">
        <is>
          <t>ÖSTERGÖTLANDS LÄN</t>
        </is>
      </c>
      <c r="G176" t="inlineStr">
        <is>
          <t>MJÖLBY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45674</v>
      </c>
      <c r="E177" s="1" t="n">
        <v>46308</v>
      </c>
      <c r="F177" t="inlineStr">
        <is>
          <t>ÖSTERGÖTLANDS LÄN</t>
        </is>
      </c>
      <c r="G177" t="inlineStr">
        <is>
          <t>MJÖLBY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65921-2021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44517</v>
      </c>
      <c r="E178" s="1" t="n">
        <v>46308</v>
      </c>
      <c r="F178" t="inlineStr">
        <is>
          <t>ÖSTERGÖTLANDS LÄN</t>
        </is>
      </c>
      <c r="G178" t="inlineStr">
        <is>
          <t>MJÖLBY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45666</v>
      </c>
      <c r="E179" s="1" t="n">
        <v>46308</v>
      </c>
      <c r="F179" t="inlineStr">
        <is>
          <t>ÖSTERGÖTLANDS LÄN</t>
        </is>
      </c>
      <c r="G179" t="inlineStr">
        <is>
          <t>MJÖLBY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46168</v>
      </c>
      <c r="E180" s="1" t="n">
        <v>46308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46308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46308</v>
      </c>
      <c r="F182" t="inlineStr">
        <is>
          <t>ÖSTERGÖTLANDS LÄN</t>
        </is>
      </c>
      <c r="G182" t="inlineStr">
        <is>
          <t>MJÖLBY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45174</v>
      </c>
      <c r="E183" s="1" t="n">
        <v>46308</v>
      </c>
      <c r="F183" t="inlineStr">
        <is>
          <t>ÖSTERGÖTLANDS LÄN</t>
        </is>
      </c>
      <c r="G183" t="inlineStr">
        <is>
          <t>MJÖLBY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10984-2024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45370</v>
      </c>
      <c r="E184" s="1" t="n">
        <v>46308</v>
      </c>
      <c r="F184" t="inlineStr">
        <is>
          <t>ÖSTERGÖTLANDS LÄN</t>
        </is>
      </c>
      <c r="G184" t="inlineStr">
        <is>
          <t>MJÖLBY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45370</v>
      </c>
      <c r="E185" s="1" t="n">
        <v>46308</v>
      </c>
      <c r="F185" t="inlineStr">
        <is>
          <t>ÖSTERGÖTLANDS LÄN</t>
        </is>
      </c>
      <c r="G185" t="inlineStr">
        <is>
          <t>MJÖLBY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45376</v>
      </c>
      <c r="E186" s="1" t="n">
        <v>46308</v>
      </c>
      <c r="F186" t="inlineStr">
        <is>
          <t>ÖSTERGÖTLANDS LÄN</t>
        </is>
      </c>
      <c r="G186" t="inlineStr">
        <is>
          <t>MJÖLBY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46308</v>
      </c>
      <c r="F187" t="inlineStr">
        <is>
          <t>ÖSTERGÖTLANDS LÄN</t>
        </is>
      </c>
      <c r="G187" t="inlineStr">
        <is>
          <t>MJÖLBY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46308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Övriga Aktiebolag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44580</v>
      </c>
      <c r="E189" s="1" t="n">
        <v>46308</v>
      </c>
      <c r="F189" t="inlineStr">
        <is>
          <t>ÖSTERGÖTLANDS LÄN</t>
        </is>
      </c>
      <c r="G189" t="inlineStr">
        <is>
          <t>MJÖLBY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45301</v>
      </c>
      <c r="E190" s="1" t="n">
        <v>46308</v>
      </c>
      <c r="F190" t="inlineStr">
        <is>
          <t>ÖSTERGÖTLANDS LÄN</t>
        </is>
      </c>
      <c r="G190" t="inlineStr">
        <is>
          <t>MJÖLBY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45666</v>
      </c>
      <c r="E191" s="1" t="n">
        <v>46308</v>
      </c>
      <c r="F191" t="inlineStr">
        <is>
          <t>ÖSTERGÖTLANDS LÄN</t>
        </is>
      </c>
      <c r="G191" t="inlineStr">
        <is>
          <t>MJÖLBY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45269</v>
      </c>
      <c r="E192" s="1" t="n">
        <v>46308</v>
      </c>
      <c r="F192" t="inlineStr">
        <is>
          <t>ÖSTERGÖTLANDS LÄN</t>
        </is>
      </c>
      <c r="G192" t="inlineStr">
        <is>
          <t>MJÖLBY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50883-2024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46308</v>
      </c>
      <c r="F193" t="inlineStr">
        <is>
          <t>ÖSTERGÖTLANDS LÄN</t>
        </is>
      </c>
      <c r="G193" t="inlineStr">
        <is>
          <t>MJÖLBY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46308</v>
      </c>
      <c r="F194" t="inlineStr">
        <is>
          <t>ÖSTERGÖTLANDS LÄN</t>
        </is>
      </c>
      <c r="G194" t="inlineStr">
        <is>
          <t>MJÖLBY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46308</v>
      </c>
      <c r="F195" t="inlineStr">
        <is>
          <t>ÖSTERGÖTLANDS LÄN</t>
        </is>
      </c>
      <c r="G195" t="inlineStr">
        <is>
          <t>MJÖLBY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4314-2024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45324</v>
      </c>
      <c r="E196" s="1" t="n">
        <v>46308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45384</v>
      </c>
      <c r="E197" s="1" t="n">
        <v>46308</v>
      </c>
      <c r="F197" t="inlineStr">
        <is>
          <t>ÖSTERGÖTLANDS LÄN</t>
        </is>
      </c>
      <c r="G197" t="inlineStr">
        <is>
          <t>MJÖLBY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46308</v>
      </c>
      <c r="F198" t="inlineStr">
        <is>
          <t>ÖSTERGÖTLANDS LÄN</t>
        </is>
      </c>
      <c r="G198" t="inlineStr">
        <is>
          <t>MJÖLBY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45176</v>
      </c>
      <c r="E199" s="1" t="n">
        <v>46308</v>
      </c>
      <c r="F199" t="inlineStr">
        <is>
          <t>ÖSTERGÖTLANDS LÄN</t>
        </is>
      </c>
      <c r="G199" t="inlineStr">
        <is>
          <t>MJÖLBY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58415-2021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46308</v>
      </c>
      <c r="F200" t="inlineStr">
        <is>
          <t>ÖSTERGÖTLANDS LÄN</t>
        </is>
      </c>
      <c r="G200" t="inlineStr">
        <is>
          <t>MJÖLBY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45446</v>
      </c>
      <c r="E201" s="1" t="n">
        <v>46308</v>
      </c>
      <c r="F201" t="inlineStr">
        <is>
          <t>ÖSTERGÖTLANDS LÄN</t>
        </is>
      </c>
      <c r="G201" t="inlineStr">
        <is>
          <t>MJÖLBY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44792</v>
      </c>
      <c r="E202" s="1" t="n">
        <v>46308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Kommuner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46308</v>
      </c>
      <c r="F203" t="inlineStr">
        <is>
          <t>ÖSTERGÖTLANDS LÄN</t>
        </is>
      </c>
      <c r="G203" t="inlineStr">
        <is>
          <t>MJÖLBY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46308</v>
      </c>
      <c r="F204" t="inlineStr">
        <is>
          <t>ÖSTERGÖTLANDS LÄN</t>
        </is>
      </c>
      <c r="G204" t="inlineStr">
        <is>
          <t>MJÖLBY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45177</v>
      </c>
      <c r="E205" s="1" t="n">
        <v>46308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45282</v>
      </c>
      <c r="E206" s="1" t="n">
        <v>46308</v>
      </c>
      <c r="F206" t="inlineStr">
        <is>
          <t>ÖSTERGÖTLANDS LÄN</t>
        </is>
      </c>
      <c r="G206" t="inlineStr">
        <is>
          <t>MJÖLBY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46308</v>
      </c>
      <c r="F207" t="inlineStr">
        <is>
          <t>ÖSTERGÖTLANDS LÄN</t>
        </is>
      </c>
      <c r="G207" t="inlineStr">
        <is>
          <t>MJÖLBY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45673</v>
      </c>
      <c r="E208" s="1" t="n">
        <v>46308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59410-2022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44907</v>
      </c>
      <c r="E209" s="1" t="n">
        <v>46308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Övriga Aktiebolag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59411-2022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44907</v>
      </c>
      <c r="E210" s="1" t="n">
        <v>46308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Övriga Aktiebolag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45677</v>
      </c>
      <c r="E211" s="1" t="n">
        <v>46308</v>
      </c>
      <c r="F211" t="inlineStr">
        <is>
          <t>ÖSTERGÖTLANDS LÄN</t>
        </is>
      </c>
      <c r="G211" t="inlineStr">
        <is>
          <t>MJÖLBY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45525</v>
      </c>
      <c r="E212" s="1" t="n">
        <v>46308</v>
      </c>
      <c r="F212" t="inlineStr">
        <is>
          <t>ÖSTERGÖTLANDS LÄN</t>
        </is>
      </c>
      <c r="G212" t="inlineStr">
        <is>
          <t>MJÖLBY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44613</v>
      </c>
      <c r="E213" s="1" t="n">
        <v>46308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46308</v>
      </c>
      <c r="F214" t="inlineStr">
        <is>
          <t>ÖSTERGÖTLANDS LÄN</t>
        </is>
      </c>
      <c r="G214" t="inlineStr">
        <is>
          <t>MJÖLBY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45261</v>
      </c>
      <c r="E215" s="1" t="n">
        <v>46308</v>
      </c>
      <c r="F215" t="inlineStr">
        <is>
          <t>ÖSTERGÖTLANDS LÄN</t>
        </is>
      </c>
      <c r="G215" t="inlineStr">
        <is>
          <t>MJÖLBY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46308</v>
      </c>
      <c r="F216" t="inlineStr">
        <is>
          <t>ÖSTERGÖTLANDS LÄN</t>
        </is>
      </c>
      <c r="G216" t="inlineStr">
        <is>
          <t>MJÖLBY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46308</v>
      </c>
      <c r="F217" t="inlineStr">
        <is>
          <t>ÖSTERGÖTLANDS LÄN</t>
        </is>
      </c>
      <c r="G217" t="inlineStr">
        <is>
          <t>MJÖLBY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52655-2023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45225</v>
      </c>
      <c r="E218" s="1" t="n">
        <v>46308</v>
      </c>
      <c r="F218" t="inlineStr">
        <is>
          <t>ÖSTERGÖTLANDS LÄN</t>
        </is>
      </c>
      <c r="G218" t="inlineStr">
        <is>
          <t>MJÖLBY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45085</v>
      </c>
      <c r="E219" s="1" t="n">
        <v>46308</v>
      </c>
      <c r="F219" t="inlineStr">
        <is>
          <t>ÖSTERGÖTLANDS LÄN</t>
        </is>
      </c>
      <c r="G219" t="inlineStr">
        <is>
          <t>MJÖLBY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39950-2024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45553</v>
      </c>
      <c r="E220" s="1" t="n">
        <v>46308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Kyrkan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11270-2022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44629</v>
      </c>
      <c r="E221" s="1" t="n">
        <v>46308</v>
      </c>
      <c r="F221" t="inlineStr">
        <is>
          <t>ÖSTERGÖTLANDS LÄN</t>
        </is>
      </c>
      <c r="G221" t="inlineStr">
        <is>
          <t>MJÖLBY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68095-2021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44526</v>
      </c>
      <c r="E222" s="1" t="n">
        <v>46308</v>
      </c>
      <c r="F222" t="inlineStr">
        <is>
          <t>ÖSTERGÖTLANDS LÄN</t>
        </is>
      </c>
      <c r="G222" t="inlineStr">
        <is>
          <t>MJÖLBY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58800-2022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44903</v>
      </c>
      <c r="E223" s="1" t="n">
        <v>46308</v>
      </c>
      <c r="F223" t="inlineStr">
        <is>
          <t>ÖSTERGÖTLANDS LÄN</t>
        </is>
      </c>
      <c r="G223" t="inlineStr">
        <is>
          <t>MJÖLBY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46308</v>
      </c>
      <c r="F224" t="inlineStr">
        <is>
          <t>ÖSTERGÖTLANDS LÄN</t>
        </is>
      </c>
      <c r="G224" t="inlineStr">
        <is>
          <t>MJÖLBY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45372</v>
      </c>
      <c r="E225" s="1" t="n">
        <v>46308</v>
      </c>
      <c r="F225" t="inlineStr">
        <is>
          <t>ÖSTERGÖTLANDS LÄN</t>
        </is>
      </c>
      <c r="G225" t="inlineStr">
        <is>
          <t>MJÖLBY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45401</v>
      </c>
      <c r="E226" s="1" t="n">
        <v>46308</v>
      </c>
      <c r="F226" t="inlineStr">
        <is>
          <t>ÖSTERGÖTLANDS LÄN</t>
        </is>
      </c>
      <c r="G226" t="inlineStr">
        <is>
          <t>MJÖLBY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45580</v>
      </c>
      <c r="E227" s="1" t="n">
        <v>46308</v>
      </c>
      <c r="F227" t="inlineStr">
        <is>
          <t>ÖSTERGÖTLANDS LÄN</t>
        </is>
      </c>
      <c r="G227" t="inlineStr">
        <is>
          <t>MJÖLBY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45602</v>
      </c>
      <c r="E228" s="1" t="n">
        <v>46308</v>
      </c>
      <c r="F228" t="inlineStr">
        <is>
          <t>ÖSTERGÖTLANDS LÄN</t>
        </is>
      </c>
      <c r="G228" t="inlineStr">
        <is>
          <t>MJÖLBY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6785-2024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45342</v>
      </c>
      <c r="E229" s="1" t="n">
        <v>46308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Kyrkan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44888</v>
      </c>
      <c r="E230" s="1" t="n">
        <v>46308</v>
      </c>
      <c r="F230" t="inlineStr">
        <is>
          <t>ÖSTERGÖTLANDS LÄN</t>
        </is>
      </c>
      <c r="G230" t="inlineStr">
        <is>
          <t>MJÖLBY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44879</v>
      </c>
      <c r="E231" s="1" t="n">
        <v>46308</v>
      </c>
      <c r="F231" t="inlineStr">
        <is>
          <t>ÖSTERGÖTLANDS LÄN</t>
        </is>
      </c>
      <c r="G231" t="inlineStr">
        <is>
          <t>MJÖLBY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1827-2026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46197</v>
      </c>
      <c r="E232" s="1" t="n">
        <v>46308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2026-10-13T02:00:38Z</dcterms:created>
  <dcterms:modified xmlns:dcterms="http://purl.org/dc/terms/" xmlns:xsi="http://www.w3.org/2001/XMLSchema-instance" xsi:type="dcterms:W3CDTF">2026-10-13T02:00:39Z</dcterms:modified>
</cp:coreProperties>
</file>