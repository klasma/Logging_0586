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46301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46301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46301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46301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46301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46301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2.4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1</v>
      </c>
      <c r="V12" s="2" t="inlineStr">
        <is>
          <t>Springkorn</t>
        </is>
      </c>
      <c r="W12">
        <f>HYPERLINK("https://klasma.github.io/Logging_0586/artfynd/A 50403-2022 artfynd.xlsx", "A 50403-2022")</f>
        <v/>
      </c>
      <c r="X12">
        <f>HYPERLINK("https://klasma.github.io/Logging_0586/kartor/A 50403-2022 karta.png", "A 50403-2022")</f>
        <v/>
      </c>
      <c r="Y12">
        <f>HYPERLINK("https://klasma.github.io/Logging_0586/kartor_geotiff/A 50403-2022 georefererad karta.tif", "A 50403-2022")</f>
        <v/>
      </c>
      <c r="AA12">
        <f>HYPERLINK("https://klasma.github.io/Logging_0586/klagomål/A 50403-2022 FSC-klagomål.docx", "A 50403-2022")</f>
        <v/>
      </c>
      <c r="AB12">
        <f>HYPERLINK("https://klasma.github.io/Logging_0586/klagomålsmail/A 50403-2022 FSC-klagomål mail.docx", "A 50403-2022")</f>
        <v/>
      </c>
      <c r="AC12">
        <f>HYPERLINK("https://klasma.github.io/Logging_0586/tillsyn/A 50403-2022 tillsynsbegäran.docx", "A 50403-2022")</f>
        <v/>
      </c>
      <c r="AD12">
        <f>HYPERLINK("https://klasma.github.io/Logging_0586/tillsynsmail/A 50403-2022 tillsynsbegäran mail.docx", "A 50403-2022")</f>
        <v/>
      </c>
    </row>
    <row r="13" ht="15" customHeight="1">
      <c r="A13" t="inlineStr">
        <is>
          <t>A 9030-2022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44615</v>
      </c>
      <c r="E13" s="1" t="n">
        <v>46301</v>
      </c>
      <c r="F13" t="inlineStr">
        <is>
          <t>ÖSTERGÖTLANDS LÄN</t>
        </is>
      </c>
      <c r="G13" t="inlineStr">
        <is>
          <t>MJÖLBY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HYPERLINK("https://klasma.github.io/Logging_0586/artfynd/A 9030-2022 artfynd.xlsx", "A 9030-2022")</f>
        <v/>
      </c>
      <c r="X13">
        <f>HYPERLINK("https://klasma.github.io/Logging_0586/kartor/A 9030-2022 karta.png", "A 9030-2022")</f>
        <v/>
      </c>
      <c r="Y13">
        <f>HYPERLINK("https://klasma.github.io/Logging_0586/kartor_geotiff/A 9030-2022 georefererad karta.tif", "A 9030-2022")</f>
        <v/>
      </c>
      <c r="AA13">
        <f>HYPERLINK("https://klasma.github.io/Logging_0586/klagomål/A 9030-2022 FSC-klagomål.docx", "A 9030-2022")</f>
        <v/>
      </c>
      <c r="AB13">
        <f>HYPERLINK("https://klasma.github.io/Logging_0586/klagomålsmail/A 9030-2022 FSC-klagomål mail.docx", "A 9030-2022")</f>
        <v/>
      </c>
      <c r="AC13">
        <f>HYPERLINK("https://klasma.github.io/Logging_0586/tillsyn/A 9030-2022 tillsynsbegäran.docx", "A 9030-2022")</f>
        <v/>
      </c>
      <c r="AD13">
        <f>HYPERLINK("https://klasma.github.io/Logging_0586/tillsynsmail/A 9030-2022 tillsynsbegäran mail.docx", "A 9030-2022")</f>
        <v/>
      </c>
    </row>
    <row r="14" ht="15" customHeight="1">
      <c r="A14" t="inlineStr">
        <is>
          <t>A 45164-2023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45191</v>
      </c>
      <c r="E14" s="1" t="n">
        <v>46301</v>
      </c>
      <c r="F14" t="inlineStr">
        <is>
          <t>ÖSTERGÖTLANDS LÄN</t>
        </is>
      </c>
      <c r="G14" t="inlineStr">
        <is>
          <t>MJÖLBY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Skogsduva</t>
        </is>
      </c>
      <c r="W14">
        <f>HYPERLINK("https://klasma.github.io/Logging_0586/artfynd/A 45164-2023 artfynd.xlsx", "A 45164-2023")</f>
        <v/>
      </c>
      <c r="X14">
        <f>HYPERLINK("https://klasma.github.io/Logging_0586/kartor/A 45164-2023 karta.png", "A 45164-2023")</f>
        <v/>
      </c>
      <c r="Y14">
        <f>HYPERLINK("https://klasma.github.io/Logging_0586/kartor_geotiff/A 45164-2023 georefererad karta.tif", "A 45164-2023")</f>
        <v/>
      </c>
      <c r="AA14">
        <f>HYPERLINK("https://klasma.github.io/Logging_0586/klagomål/A 45164-2023 FSC-klagomål.docx", "A 45164-2023")</f>
        <v/>
      </c>
      <c r="AB14">
        <f>HYPERLINK("https://klasma.github.io/Logging_0586/klagomålsmail/A 45164-2023 FSC-klagomål mail.docx", "A 45164-2023")</f>
        <v/>
      </c>
      <c r="AC14">
        <f>HYPERLINK("https://klasma.github.io/Logging_0586/tillsyn/A 45164-2023 tillsynsbegäran.docx", "A 45164-2023")</f>
        <v/>
      </c>
      <c r="AD14">
        <f>HYPERLINK("https://klasma.github.io/Logging_0586/tillsynsmail/A 45164-2023 tillsynsbegäran mail.docx", "A 45164-2023")</f>
        <v/>
      </c>
    </row>
    <row r="15" ht="15" customHeight="1">
      <c r="A15" t="inlineStr">
        <is>
          <t>A 13567-2025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45736</v>
      </c>
      <c r="E15" s="1" t="n">
        <v>46301</v>
      </c>
      <c r="F15" t="inlineStr">
        <is>
          <t>ÖSTERGÖTLANDS LÄN</t>
        </is>
      </c>
      <c r="G15" t="inlineStr">
        <is>
          <t>MJÖLBY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Klubbsprötad bastardsvärmare</t>
        </is>
      </c>
      <c r="W15">
        <f>HYPERLINK("https://klasma.github.io/Logging_0586/artfynd/A 13567-2025 artfynd.xlsx", "A 13567-2025")</f>
        <v/>
      </c>
      <c r="X15">
        <f>HYPERLINK("https://klasma.github.io/Logging_0586/kartor/A 13567-2025 karta.png", "A 13567-2025")</f>
        <v/>
      </c>
      <c r="Y15">
        <f>HYPERLINK("https://klasma.github.io/Logging_0586/kartor_geotiff/A 13567-2025 georefererad karta.tif", "A 13567-2025")</f>
        <v/>
      </c>
      <c r="AA15">
        <f>HYPERLINK("https://klasma.github.io/Logging_0586/klagomål/A 13567-2025 FSC-klagomål.docx", "A 13567-2025")</f>
        <v/>
      </c>
      <c r="AB15">
        <f>HYPERLINK("https://klasma.github.io/Logging_0586/klagomålsmail/A 13567-2025 FSC-klagomål mail.docx", "A 13567-2025")</f>
        <v/>
      </c>
      <c r="AC15">
        <f>HYPERLINK("https://klasma.github.io/Logging_0586/tillsyn/A 13567-2025 tillsynsbegäran.docx", "A 13567-2025")</f>
        <v/>
      </c>
      <c r="AD15">
        <f>HYPERLINK("https://klasma.github.io/Logging_0586/tillsynsmail/A 13567-2025 tillsynsbegäran mail.docx", "A 13567-2025")</f>
        <v/>
      </c>
    </row>
    <row r="16" ht="15" customHeight="1">
      <c r="A16" t="inlineStr">
        <is>
          <t>A 22327-2024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46301</v>
      </c>
      <c r="F16" t="inlineStr">
        <is>
          <t>ÖSTERGÖTLANDS LÄN</t>
        </is>
      </c>
      <c r="G16" t="inlineStr">
        <is>
          <t>MJÖLBY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HYPERLINK("https://klasma.github.io/Logging_0586/artfynd/A 22327-2024 artfynd.xlsx", "A 22327-2024")</f>
        <v/>
      </c>
      <c r="X16">
        <f>HYPERLINK("https://klasma.github.io/Logging_0586/kartor/A 22327-2024 karta.png", "A 22327-2024")</f>
        <v/>
      </c>
      <c r="Y16">
        <f>HYPERLINK("https://klasma.github.io/Logging_0586/kartor_geotiff/A 22327-2024 georefererad karta.tif", "A 22327-2024")</f>
        <v/>
      </c>
      <c r="AA16">
        <f>HYPERLINK("https://klasma.github.io/Logging_0586/klagomål/A 22327-2024 FSC-klagomål.docx", "A 22327-2024")</f>
        <v/>
      </c>
      <c r="AB16">
        <f>HYPERLINK("https://klasma.github.io/Logging_0586/klagomålsmail/A 22327-2024 FSC-klagomål mail.docx", "A 22327-2024")</f>
        <v/>
      </c>
      <c r="AC16">
        <f>HYPERLINK("https://klasma.github.io/Logging_0586/tillsyn/A 22327-2024 tillsynsbegäran.docx", "A 22327-2024")</f>
        <v/>
      </c>
      <c r="AD16">
        <f>HYPERLINK("https://klasma.github.io/Logging_0586/tillsynsmail/A 22327-2024 tillsynsbegäran mail.docx", "A 22327-2024")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46301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46301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46301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46301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46301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46301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46301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46301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46301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46301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46301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46301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56458-2021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44480</v>
      </c>
      <c r="E29" s="1" t="n">
        <v>46301</v>
      </c>
      <c r="F29" t="inlineStr">
        <is>
          <t>ÖSTERGÖTLANDS LÄN</t>
        </is>
      </c>
      <c r="G29" t="inlineStr">
        <is>
          <t>MJÖLBY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46301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46301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34431-2022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44792</v>
      </c>
      <c r="E32" s="1" t="n">
        <v>46301</v>
      </c>
      <c r="F32" t="inlineStr">
        <is>
          <t>ÖSTERGÖTLANDS LÄN</t>
        </is>
      </c>
      <c r="G32" t="inlineStr">
        <is>
          <t>MJÖLBY</t>
        </is>
      </c>
      <c r="H32" t="inlineStr">
        <is>
          <t>Kommuner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51475-2023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45221</v>
      </c>
      <c r="E33" s="1" t="n">
        <v>46301</v>
      </c>
      <c r="F33" t="inlineStr">
        <is>
          <t>ÖSTERGÖTLANDS LÄN</t>
        </is>
      </c>
      <c r="G33" t="inlineStr">
        <is>
          <t>MJÖLBY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46301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46301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46301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17707-2023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45037</v>
      </c>
      <c r="E37" s="1" t="n">
        <v>46301</v>
      </c>
      <c r="F37" t="inlineStr">
        <is>
          <t>ÖSTERGÖTLANDS LÄN</t>
        </is>
      </c>
      <c r="G37" t="inlineStr">
        <is>
          <t>MJÖLBY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72563-2021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44546</v>
      </c>
      <c r="E38" s="1" t="n">
        <v>46301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72558-2021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46301</v>
      </c>
      <c r="F39" t="inlineStr">
        <is>
          <t>ÖSTERGÖTLANDS LÄN</t>
        </is>
      </c>
      <c r="G39" t="inlineStr">
        <is>
          <t>MJÖLBY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66977-2021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46301</v>
      </c>
      <c r="F40" t="inlineStr">
        <is>
          <t>ÖSTERGÖTLANDS LÄN</t>
        </is>
      </c>
      <c r="G40" t="inlineStr">
        <is>
          <t>MJÖLBY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65921-2021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46301</v>
      </c>
      <c r="F41" t="inlineStr">
        <is>
          <t>ÖSTERGÖTLANDS LÄN</t>
        </is>
      </c>
      <c r="G41" t="inlineStr">
        <is>
          <t>MJÖLBY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27232-2025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45812</v>
      </c>
      <c r="E42" s="1" t="n">
        <v>46301</v>
      </c>
      <c r="F42" t="inlineStr">
        <is>
          <t>ÖSTERGÖTLANDS LÄN</t>
        </is>
      </c>
      <c r="G42" t="inlineStr">
        <is>
          <t>MJÖLBY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45208</v>
      </c>
      <c r="E43" s="1" t="n">
        <v>46301</v>
      </c>
      <c r="F43" t="inlineStr">
        <is>
          <t>ÖSTERGÖTLANDS LÄN</t>
        </is>
      </c>
      <c r="G43" t="inlineStr">
        <is>
          <t>MJÖLBY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46301</v>
      </c>
      <c r="F44" t="inlineStr">
        <is>
          <t>ÖSTERGÖTLANDS LÄN</t>
        </is>
      </c>
      <c r="G44" t="inlineStr">
        <is>
          <t>MJÖLBY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45819</v>
      </c>
      <c r="E45" s="1" t="n">
        <v>46301</v>
      </c>
      <c r="F45" t="inlineStr">
        <is>
          <t>ÖSTERGÖTLANDS LÄN</t>
        </is>
      </c>
      <c r="G45" t="inlineStr">
        <is>
          <t>MJÖLBY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46301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46301</v>
      </c>
      <c r="F47" t="inlineStr">
        <is>
          <t>ÖSTERGÖTLANDS LÄN</t>
        </is>
      </c>
      <c r="G47" t="inlineStr">
        <is>
          <t>MJÖLBY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45553</v>
      </c>
      <c r="E48" s="1" t="n">
        <v>46301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45793</v>
      </c>
      <c r="E49" s="1" t="n">
        <v>46301</v>
      </c>
      <c r="F49" t="inlineStr">
        <is>
          <t>ÖSTERGÖTLANDS LÄN</t>
        </is>
      </c>
      <c r="G49" t="inlineStr">
        <is>
          <t>MJÖLBY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45834</v>
      </c>
      <c r="E50" s="1" t="n">
        <v>46301</v>
      </c>
      <c r="F50" t="inlineStr">
        <is>
          <t>ÖSTERGÖTLANDS LÄN</t>
        </is>
      </c>
      <c r="G50" t="inlineStr">
        <is>
          <t>MJÖLBY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45834</v>
      </c>
      <c r="E51" s="1" t="n">
        <v>46301</v>
      </c>
      <c r="F51" t="inlineStr">
        <is>
          <t>ÖSTERGÖTLANDS LÄN</t>
        </is>
      </c>
      <c r="G51" t="inlineStr">
        <is>
          <t>MJÖLBY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46301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46301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43012-2024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45567</v>
      </c>
      <c r="E54" s="1" t="n">
        <v>46301</v>
      </c>
      <c r="F54" t="inlineStr">
        <is>
          <t>ÖSTERGÖTLANDS LÄN</t>
        </is>
      </c>
      <c r="G54" t="inlineStr">
        <is>
          <t>MJÖLBY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60964-2023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45261</v>
      </c>
      <c r="E55" s="1" t="n">
        <v>46301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46301</v>
      </c>
      <c r="F56" t="inlineStr">
        <is>
          <t>ÖSTERGÖTLANDS LÄN</t>
        </is>
      </c>
      <c r="G56" t="inlineStr">
        <is>
          <t>MJÖLBY</t>
        </is>
      </c>
      <c r="H56" t="inlineStr">
        <is>
          <t>Kyrkan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46301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46301</v>
      </c>
      <c r="F58" t="inlineStr">
        <is>
          <t>ÖSTERGÖTLANDS LÄN</t>
        </is>
      </c>
      <c r="G58" t="inlineStr">
        <is>
          <t>MJÖLBY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46301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46301</v>
      </c>
      <c r="F60" t="inlineStr">
        <is>
          <t>ÖSTERGÖTLANDS LÄN</t>
        </is>
      </c>
      <c r="G60" t="inlineStr">
        <is>
          <t>MJÖLBY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46301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46301</v>
      </c>
      <c r="F62" t="inlineStr">
        <is>
          <t>ÖSTERGÖTLANDS LÄN</t>
        </is>
      </c>
      <c r="G62" t="inlineStr">
        <is>
          <t>MJÖLBY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46301</v>
      </c>
      <c r="F63" t="inlineStr">
        <is>
          <t>ÖSTERGÖTLANDS LÄN</t>
        </is>
      </c>
      <c r="G63" t="inlineStr">
        <is>
          <t>MJÖLBY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44888</v>
      </c>
      <c r="E64" s="1" t="n">
        <v>46301</v>
      </c>
      <c r="F64" t="inlineStr">
        <is>
          <t>ÖSTERGÖTLANDS LÄN</t>
        </is>
      </c>
      <c r="G64" t="inlineStr">
        <is>
          <t>MJÖLBY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46301</v>
      </c>
      <c r="F65" t="inlineStr">
        <is>
          <t>ÖSTERGÖTLANDS LÄN</t>
        </is>
      </c>
      <c r="G65" t="inlineStr">
        <is>
          <t>MJÖLBY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46301</v>
      </c>
      <c r="F66" t="inlineStr">
        <is>
          <t>ÖSTERGÖTLANDS LÄN</t>
        </is>
      </c>
      <c r="G66" t="inlineStr">
        <is>
          <t>MJÖLBY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46301</v>
      </c>
      <c r="F67" t="inlineStr">
        <is>
          <t>ÖSTERGÖTLANDS LÄN</t>
        </is>
      </c>
      <c r="G67" t="inlineStr">
        <is>
          <t>MJÖLBY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46301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46301</v>
      </c>
      <c r="F69" t="inlineStr">
        <is>
          <t>ÖSTERGÖTLANDS LÄN</t>
        </is>
      </c>
      <c r="G69" t="inlineStr">
        <is>
          <t>MJÖLBY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46301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46301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46301</v>
      </c>
      <c r="F72" t="inlineStr">
        <is>
          <t>ÖSTERGÖTLANDS LÄN</t>
        </is>
      </c>
      <c r="G72" t="inlineStr">
        <is>
          <t>MJÖLBY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46301</v>
      </c>
      <c r="F73" t="inlineStr">
        <is>
          <t>ÖSTERGÖTLANDS LÄN</t>
        </is>
      </c>
      <c r="G73" t="inlineStr">
        <is>
          <t>MJÖLBY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38199-2025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46301</v>
      </c>
      <c r="F74" t="inlineStr">
        <is>
          <t>ÖSTERGÖTLANDS LÄN</t>
        </is>
      </c>
      <c r="G74" t="inlineStr">
        <is>
          <t>MJÖLBY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44946</v>
      </c>
      <c r="E75" s="1" t="n">
        <v>46301</v>
      </c>
      <c r="F75" t="inlineStr">
        <is>
          <t>ÖSTERGÖTLANDS LÄN</t>
        </is>
      </c>
      <c r="G75" t="inlineStr">
        <is>
          <t>MJÖLBY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46301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45146</v>
      </c>
      <c r="E77" s="1" t="n">
        <v>46301</v>
      </c>
      <c r="F77" t="inlineStr">
        <is>
          <t>ÖSTERGÖTLANDS LÄN</t>
        </is>
      </c>
      <c r="G77" t="inlineStr">
        <is>
          <t>MJÖLBY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46301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46301</v>
      </c>
      <c r="F79" t="inlineStr">
        <is>
          <t>ÖSTERGÖTLANDS LÄN</t>
        </is>
      </c>
      <c r="G79" t="inlineStr">
        <is>
          <t>MJÖLBY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63449-2023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45273</v>
      </c>
      <c r="E80" s="1" t="n">
        <v>46301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46301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46079</v>
      </c>
      <c r="E82" s="1" t="n">
        <v>46301</v>
      </c>
      <c r="F82" t="inlineStr">
        <is>
          <t>ÖSTERGÖTLANDS LÄN</t>
        </is>
      </c>
      <c r="G82" t="inlineStr">
        <is>
          <t>MJÖLBY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45152</v>
      </c>
      <c r="E83" s="1" t="n">
        <v>46301</v>
      </c>
      <c r="F83" t="inlineStr">
        <is>
          <t>ÖSTERGÖTLANDS LÄN</t>
        </is>
      </c>
      <c r="G83" t="inlineStr">
        <is>
          <t>MJÖLBY</t>
        </is>
      </c>
      <c r="H83" t="inlineStr">
        <is>
          <t>Allmännings- och besparingsskogar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44770-2025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45917</v>
      </c>
      <c r="E84" s="1" t="n">
        <v>46301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44769-2025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45917</v>
      </c>
      <c r="E85" s="1" t="n">
        <v>46301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46301</v>
      </c>
      <c r="F86" t="inlineStr">
        <is>
          <t>ÖSTERGÖTLANDS LÄN</t>
        </is>
      </c>
      <c r="G86" t="inlineStr">
        <is>
          <t>MJÖLBY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46301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46104</v>
      </c>
      <c r="E88" s="1" t="n">
        <v>46301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46104</v>
      </c>
      <c r="E89" s="1" t="n">
        <v>46301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46108</v>
      </c>
      <c r="E90" s="1" t="n">
        <v>46301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46301</v>
      </c>
      <c r="F91" t="inlineStr">
        <is>
          <t>ÖSTERGÖTLANDS LÄN</t>
        </is>
      </c>
      <c r="G91" t="inlineStr">
        <is>
          <t>MJÖLBY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17699-2026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46121</v>
      </c>
      <c r="E92" s="1" t="n">
        <v>46301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46121</v>
      </c>
      <c r="E93" s="1" t="n">
        <v>46301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46301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46127</v>
      </c>
      <c r="E95" s="1" t="n">
        <v>46301</v>
      </c>
      <c r="F95" t="inlineStr">
        <is>
          <t>ÖSTERGÖTLANDS LÄN</t>
        </is>
      </c>
      <c r="G95" t="inlineStr">
        <is>
          <t>MJÖLBY</t>
        </is>
      </c>
      <c r="H95" t="inlineStr">
        <is>
          <t>Övriga Aktiebolag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46301</v>
      </c>
      <c r="F96" t="inlineStr">
        <is>
          <t>ÖSTERGÖTLANDS LÄN</t>
        </is>
      </c>
      <c r="G96" t="inlineStr">
        <is>
          <t>MJÖLBY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46301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46301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46301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46301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46301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46301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45892</v>
      </c>
      <c r="E103" s="1" t="n">
        <v>46301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46301</v>
      </c>
      <c r="F104" t="inlineStr">
        <is>
          <t>ÖSTERGÖTLANDS LÄN</t>
        </is>
      </c>
      <c r="G104" t="inlineStr">
        <is>
          <t>MJÖLBY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46301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46301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46301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46301</v>
      </c>
      <c r="F108" t="inlineStr">
        <is>
          <t>ÖSTERGÖTLANDS LÄN</t>
        </is>
      </c>
      <c r="G108" t="inlineStr">
        <is>
          <t>MJÖLBY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46301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58800-2022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44903</v>
      </c>
      <c r="E110" s="1" t="n">
        <v>46301</v>
      </c>
      <c r="F110" t="inlineStr">
        <is>
          <t>ÖSTERGÖTLANDS LÄN</t>
        </is>
      </c>
      <c r="G110" t="inlineStr">
        <is>
          <t>MJÖLBY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46301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45376</v>
      </c>
      <c r="E112" s="1" t="n">
        <v>46301</v>
      </c>
      <c r="F112" t="inlineStr">
        <is>
          <t>ÖSTERGÖTLANDS LÄN</t>
        </is>
      </c>
      <c r="G112" t="inlineStr">
        <is>
          <t>MJÖLBY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46301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46301</v>
      </c>
      <c r="F114" t="inlineStr">
        <is>
          <t>ÖSTERGÖTLANDS LÄN</t>
        </is>
      </c>
      <c r="G114" t="inlineStr">
        <is>
          <t>MJÖLBY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46301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59411-2022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44907</v>
      </c>
      <c r="E116" s="1" t="n">
        <v>46301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46301</v>
      </c>
      <c r="F117" t="inlineStr">
        <is>
          <t>ÖSTERGÖTLANDS LÄN</t>
        </is>
      </c>
      <c r="G117" t="inlineStr">
        <is>
          <t>MJÖLBY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59410-2022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46301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46301</v>
      </c>
      <c r="F119" t="inlineStr">
        <is>
          <t>ÖSTERGÖTLANDS LÄN</t>
        </is>
      </c>
      <c r="G119" t="inlineStr">
        <is>
          <t>MJÖLBY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44768</v>
      </c>
      <c r="E120" s="1" t="n">
        <v>46301</v>
      </c>
      <c r="F120" t="inlineStr">
        <is>
          <t>ÖSTERGÖTLANDS LÄN</t>
        </is>
      </c>
      <c r="G120" t="inlineStr">
        <is>
          <t>MJÖLBY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46139</v>
      </c>
      <c r="E121" s="1" t="n">
        <v>46301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45269</v>
      </c>
      <c r="E122" s="1" t="n">
        <v>46301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46301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Kommuner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46301</v>
      </c>
      <c r="F124" t="inlineStr">
        <is>
          <t>ÖSTERGÖTLANDS LÄN</t>
        </is>
      </c>
      <c r="G124" t="inlineStr">
        <is>
          <t>MJÖLBY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46301</v>
      </c>
      <c r="F125" t="inlineStr">
        <is>
          <t>ÖSTERGÖTLANDS LÄN</t>
        </is>
      </c>
      <c r="G125" t="inlineStr">
        <is>
          <t>MJÖLBY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46301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46301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46301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46301</v>
      </c>
      <c r="F129" t="inlineStr">
        <is>
          <t>ÖSTERGÖTLANDS LÄN</t>
        </is>
      </c>
      <c r="G129" t="inlineStr">
        <is>
          <t>MJÖLBY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68095-2021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44526</v>
      </c>
      <c r="E130" s="1" t="n">
        <v>46301</v>
      </c>
      <c r="F130" t="inlineStr">
        <is>
          <t>ÖSTERGÖTLANDS LÄN</t>
        </is>
      </c>
      <c r="G130" t="inlineStr">
        <is>
          <t>MJÖLBY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46301</v>
      </c>
      <c r="F131" t="inlineStr">
        <is>
          <t>ÖSTERGÖTLANDS LÄN</t>
        </is>
      </c>
      <c r="G131" t="inlineStr">
        <is>
          <t>MJÖLBY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45159</v>
      </c>
      <c r="E132" s="1" t="n">
        <v>46301</v>
      </c>
      <c r="F132" t="inlineStr">
        <is>
          <t>ÖSTERGÖTLANDS LÄN</t>
        </is>
      </c>
      <c r="G132" t="inlineStr">
        <is>
          <t>MJÖLBY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46301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44629</v>
      </c>
      <c r="E134" s="1" t="n">
        <v>46301</v>
      </c>
      <c r="F134" t="inlineStr">
        <is>
          <t>ÖSTERGÖTLANDS LÄN</t>
        </is>
      </c>
      <c r="G134" t="inlineStr">
        <is>
          <t>MJÖLBY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46301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45677</v>
      </c>
      <c r="E136" s="1" t="n">
        <v>46301</v>
      </c>
      <c r="F136" t="inlineStr">
        <is>
          <t>ÖSTERGÖTLANDS LÄN</t>
        </is>
      </c>
      <c r="G136" t="inlineStr">
        <is>
          <t>MJÖLBY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46301</v>
      </c>
      <c r="F137" t="inlineStr">
        <is>
          <t>ÖSTERGÖTLANDS LÄN</t>
        </is>
      </c>
      <c r="G137" t="inlineStr">
        <is>
          <t>MJÖLBY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46301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46301</v>
      </c>
      <c r="F139" t="inlineStr">
        <is>
          <t>ÖSTERGÖTLANDS LÄN</t>
        </is>
      </c>
      <c r="G139" t="inlineStr">
        <is>
          <t>MJÖLBY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46171</v>
      </c>
      <c r="E140" s="1" t="n">
        <v>46301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46170</v>
      </c>
      <c r="E141" s="1" t="n">
        <v>46301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24903-2026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46174</v>
      </c>
      <c r="E142" s="1" t="n">
        <v>46301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46301</v>
      </c>
      <c r="F143" t="inlineStr">
        <is>
          <t>ÖSTERGÖTLANDS LÄN</t>
        </is>
      </c>
      <c r="G143" t="inlineStr">
        <is>
          <t>MJÖLBY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46301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46301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46301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46301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46301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46301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27126-2026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46188</v>
      </c>
      <c r="E150" s="1" t="n">
        <v>46301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46301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46301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46301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45372</v>
      </c>
      <c r="E154" s="1" t="n">
        <v>46301</v>
      </c>
      <c r="F154" t="inlineStr">
        <is>
          <t>ÖSTERGÖTLANDS LÄN</t>
        </is>
      </c>
      <c r="G154" t="inlineStr">
        <is>
          <t>MJÖLBY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46301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46301</v>
      </c>
      <c r="F156" t="inlineStr">
        <is>
          <t>ÖSTERGÖTLANDS LÄN</t>
        </is>
      </c>
      <c r="G156" t="inlineStr">
        <is>
          <t>MJÖLBY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52655-2023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45225</v>
      </c>
      <c r="E157" s="1" t="n">
        <v>46301</v>
      </c>
      <c r="F157" t="inlineStr">
        <is>
          <t>ÖSTERGÖTLANDS LÄN</t>
        </is>
      </c>
      <c r="G157" t="inlineStr">
        <is>
          <t>MJÖLBY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46301</v>
      </c>
      <c r="F158" t="inlineStr">
        <is>
          <t>ÖSTERGÖTLANDS LÄN</t>
        </is>
      </c>
      <c r="G158" t="inlineStr">
        <is>
          <t>MJÖLBY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44951</v>
      </c>
      <c r="E159" s="1" t="n">
        <v>46301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45259</v>
      </c>
      <c r="E160" s="1" t="n">
        <v>46301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44663</v>
      </c>
      <c r="E161" s="1" t="n">
        <v>46301</v>
      </c>
      <c r="F161" t="inlineStr">
        <is>
          <t>ÖSTERGÖTLANDS LÄN</t>
        </is>
      </c>
      <c r="G161" t="inlineStr">
        <is>
          <t>MJÖLBY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45525</v>
      </c>
      <c r="E162" s="1" t="n">
        <v>46301</v>
      </c>
      <c r="F162" t="inlineStr">
        <is>
          <t>ÖSTERGÖTLANDS LÄN</t>
        </is>
      </c>
      <c r="G162" t="inlineStr">
        <is>
          <t>MJÖLBY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46301</v>
      </c>
      <c r="F163" t="inlineStr">
        <is>
          <t>ÖSTERGÖTLANDS LÄN</t>
        </is>
      </c>
      <c r="G163" t="inlineStr">
        <is>
          <t>MJÖLBY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46301</v>
      </c>
      <c r="F164" t="inlineStr">
        <is>
          <t>ÖSTERGÖTLANDS LÄN</t>
        </is>
      </c>
      <c r="G164" t="inlineStr">
        <is>
          <t>MJÖLBY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46301</v>
      </c>
      <c r="F165" t="inlineStr">
        <is>
          <t>ÖSTERGÖTLANDS LÄN</t>
        </is>
      </c>
      <c r="G165" t="inlineStr">
        <is>
          <t>MJÖLBY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46301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46301</v>
      </c>
      <c r="F167" t="inlineStr">
        <is>
          <t>ÖSTERGÖTLANDS LÄN</t>
        </is>
      </c>
      <c r="G167" t="inlineStr">
        <is>
          <t>MJÖLBY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46301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46301</v>
      </c>
      <c r="F169" t="inlineStr">
        <is>
          <t>ÖSTERGÖTLANDS LÄN</t>
        </is>
      </c>
      <c r="G169" t="inlineStr">
        <is>
          <t>MJÖLBY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46301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46274</v>
      </c>
      <c r="E171" s="1" t="n">
        <v>46301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46274</v>
      </c>
      <c r="E172" s="1" t="n">
        <v>46301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46301</v>
      </c>
      <c r="F173" t="inlineStr">
        <is>
          <t>ÖSTERGÖTLANDS LÄN</t>
        </is>
      </c>
      <c r="G173" t="inlineStr">
        <is>
          <t>MJÖLBY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46301</v>
      </c>
      <c r="F174" t="inlineStr">
        <is>
          <t>ÖSTERGÖTLANDS LÄN</t>
        </is>
      </c>
      <c r="G174" t="inlineStr">
        <is>
          <t>MJÖLBY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46301</v>
      </c>
      <c r="F175" t="inlineStr">
        <is>
          <t>ÖSTERGÖTLANDS LÄN</t>
        </is>
      </c>
      <c r="G175" t="inlineStr">
        <is>
          <t>MJÖLBY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46301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45324</v>
      </c>
      <c r="E177" s="1" t="n">
        <v>46301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Kyrkan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46301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46301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46301</v>
      </c>
      <c r="F180" t="inlineStr">
        <is>
          <t>ÖSTERGÖTLANDS LÄN</t>
        </is>
      </c>
      <c r="G180" t="inlineStr">
        <is>
          <t>MJÖLBY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46301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46301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46301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46301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46301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46301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46301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46301</v>
      </c>
      <c r="F188" t="inlineStr">
        <is>
          <t>ÖSTERGÖTLANDS LÄN</t>
        </is>
      </c>
      <c r="G188" t="inlineStr">
        <is>
          <t>MJÖLBY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46301</v>
      </c>
      <c r="F189" t="inlineStr">
        <is>
          <t>ÖSTERGÖTLANDS LÄN</t>
        </is>
      </c>
      <c r="G189" t="inlineStr">
        <is>
          <t>MJÖLBY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45370</v>
      </c>
      <c r="E190" s="1" t="n">
        <v>46301</v>
      </c>
      <c r="F190" t="inlineStr">
        <is>
          <t>ÖSTERGÖTLANDS LÄN</t>
        </is>
      </c>
      <c r="G190" t="inlineStr">
        <is>
          <t>MJÖLBY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46301</v>
      </c>
      <c r="F191" t="inlineStr">
        <is>
          <t>ÖSTERGÖTLANDS LÄN</t>
        </is>
      </c>
      <c r="G191" t="inlineStr">
        <is>
          <t>MJÖLBY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46301</v>
      </c>
      <c r="F192" t="inlineStr">
        <is>
          <t>ÖSTERGÖTLANDS LÄN</t>
        </is>
      </c>
      <c r="G192" t="inlineStr">
        <is>
          <t>MJÖLBY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45177</v>
      </c>
      <c r="E193" s="1" t="n">
        <v>46301</v>
      </c>
      <c r="F193" t="inlineStr">
        <is>
          <t>ÖSTERGÖTLANDS LÄN</t>
        </is>
      </c>
      <c r="G193" t="inlineStr">
        <is>
          <t>MJÖLBY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46301</v>
      </c>
      <c r="F194" t="inlineStr">
        <is>
          <t>ÖSTERGÖTLANDS LÄN</t>
        </is>
      </c>
      <c r="G194" t="inlineStr">
        <is>
          <t>MJÖLBY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46301</v>
      </c>
      <c r="F195" t="inlineStr">
        <is>
          <t>ÖSTERGÖTLANDS LÄN</t>
        </is>
      </c>
      <c r="G195" t="inlineStr">
        <is>
          <t>MJÖLBY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46301</v>
      </c>
      <c r="F196" t="inlineStr">
        <is>
          <t>ÖSTERGÖTLANDS LÄN</t>
        </is>
      </c>
      <c r="G196" t="inlineStr">
        <is>
          <t>MJÖLBY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46286</v>
      </c>
      <c r="E197" s="1" t="n">
        <v>46301</v>
      </c>
      <c r="F197" t="inlineStr">
        <is>
          <t>ÖSTERGÖTLANDS LÄN</t>
        </is>
      </c>
      <c r="G197" t="inlineStr">
        <is>
          <t>MJÖLBY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46301</v>
      </c>
      <c r="F198" t="inlineStr">
        <is>
          <t>ÖSTERGÖTLANDS LÄN</t>
        </is>
      </c>
      <c r="G198" t="inlineStr">
        <is>
          <t>MJÖLBY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46301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46301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46301</v>
      </c>
      <c r="F201" t="inlineStr">
        <is>
          <t>ÖSTERGÖTLANDS LÄN</t>
        </is>
      </c>
      <c r="G201" t="inlineStr">
        <is>
          <t>MJÖLBY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46301</v>
      </c>
      <c r="F202" t="inlineStr">
        <is>
          <t>ÖSTERGÖTLANDS LÄN</t>
        </is>
      </c>
      <c r="G202" t="inlineStr">
        <is>
          <t>MJÖLBY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46301</v>
      </c>
      <c r="F203" t="inlineStr">
        <is>
          <t>ÖSTERGÖTLANDS LÄN</t>
        </is>
      </c>
      <c r="G203" t="inlineStr">
        <is>
          <t>MJÖLBY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46301</v>
      </c>
      <c r="F204" t="inlineStr">
        <is>
          <t>ÖSTERGÖTLANDS LÄN</t>
        </is>
      </c>
      <c r="G204" t="inlineStr">
        <is>
          <t>MJÖLBY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46301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46301</v>
      </c>
      <c r="F206" t="inlineStr">
        <is>
          <t>ÖSTERGÖTLANDS LÄN</t>
        </is>
      </c>
      <c r="G206" t="inlineStr">
        <is>
          <t>MJÖLBY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45293</v>
      </c>
      <c r="E207" s="1" t="n">
        <v>46301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46301</v>
      </c>
      <c r="F208" t="inlineStr">
        <is>
          <t>ÖSTERGÖTLANDS LÄN</t>
        </is>
      </c>
      <c r="G208" t="inlineStr">
        <is>
          <t>MJÖLBY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46301</v>
      </c>
      <c r="F209" t="inlineStr">
        <is>
          <t>ÖSTERGÖTLANDS LÄN</t>
        </is>
      </c>
      <c r="G209" t="inlineStr">
        <is>
          <t>MJÖLBY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46301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46301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46301</v>
      </c>
      <c r="F212" t="inlineStr">
        <is>
          <t>ÖSTERGÖTLANDS LÄN</t>
        </is>
      </c>
      <c r="G212" t="inlineStr">
        <is>
          <t>MJÖLBY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46301</v>
      </c>
      <c r="F213" t="inlineStr">
        <is>
          <t>ÖSTERGÖTLANDS LÄN</t>
        </is>
      </c>
      <c r="G213" t="inlineStr">
        <is>
          <t>MJÖLBY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38278-2024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45545</v>
      </c>
      <c r="E214" s="1" t="n">
        <v>46301</v>
      </c>
      <c r="F214" t="inlineStr">
        <is>
          <t>ÖSTERGÖTLANDS LÄN</t>
        </is>
      </c>
      <c r="G214" t="inlineStr">
        <is>
          <t>MJÖLBY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46301</v>
      </c>
      <c r="F215" t="inlineStr">
        <is>
          <t>ÖSTERGÖTLANDS LÄN</t>
        </is>
      </c>
      <c r="G215" t="inlineStr">
        <is>
          <t>MJÖLBY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45539</v>
      </c>
      <c r="E216" s="1" t="n">
        <v>46301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46301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46301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46301</v>
      </c>
      <c r="F219" t="inlineStr">
        <is>
          <t>ÖSTERGÖTLANDS LÄN</t>
        </is>
      </c>
      <c r="G219" t="inlineStr">
        <is>
          <t>MJÖLBY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46300</v>
      </c>
      <c r="E220" s="1" t="n">
        <v>46301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Sveaskog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46301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46301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46301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46301</v>
      </c>
      <c r="F224" t="inlineStr">
        <is>
          <t>ÖSTERGÖTLANDS LÄN</t>
        </is>
      </c>
      <c r="G224" t="inlineStr">
        <is>
          <t>MJÖLBY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46301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46301</v>
      </c>
      <c r="F226" t="inlineStr">
        <is>
          <t>ÖSTERGÖTLANDS LÄN</t>
        </is>
      </c>
      <c r="G226" t="inlineStr">
        <is>
          <t>MJÖLBY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46301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Sveaskog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46300</v>
      </c>
      <c r="E228" s="1" t="n">
        <v>46301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Sveaskog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46301</v>
      </c>
      <c r="F229" t="inlineStr">
        <is>
          <t>ÖSTERGÖTLANDS LÄN</t>
        </is>
      </c>
      <c r="G229" t="inlineStr">
        <is>
          <t>MJÖLBY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34794-2026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46258</v>
      </c>
      <c r="E230" s="1" t="n">
        <v>46301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46301</v>
      </c>
      <c r="F231" t="inlineStr">
        <is>
          <t>ÖSTERGÖTLANDS LÄN</t>
        </is>
      </c>
      <c r="G231" t="inlineStr">
        <is>
          <t>MJÖLBY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46301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2026-10-06T01:53:56Z</dcterms:created>
  <dcterms:modified xmlns:dcterms="http://purl.org/dc/terms/" xmlns:xsi="http://www.w3.org/2001/XMLSchema-instance" xsi:type="dcterms:W3CDTF">2026-10-06T01:53:56Z</dcterms:modified>
</cp:coreProperties>
</file>