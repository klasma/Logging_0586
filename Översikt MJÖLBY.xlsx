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46279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t="n">
        <v>28</v>
      </c>
      <c r="V2" s="2" t="inlineStr">
        <is>
          <t>Hållav
Gransotdyna
Kattfotslav
Tallticka
Ullticka
Vedskivlav
Vedtrappmossa
Flagellkvastmossa</t>
        </is>
      </c>
      <c r="W2">
        <f>HYPERLINK("https://klasma.github.io/Logging_0586/artfynd/A 57042-2021 artfynd.xlsx", "A 57042-2021")</f>
        <v/>
      </c>
      <c r="X2">
        <f>HYPERLINK("https://klasma.github.io/Logging_0586/kartor/A 57042-2021 karta.png", "A 57042-2021")</f>
        <v/>
      </c>
      <c r="Y2">
        <f>HYPERLINK("https://klasma.github.io/Logging_0586/kartor_geotiff/A 57042-2021 georefererad karta.tif", "A 57042-2021")</f>
        <v/>
      </c>
      <c r="AA2">
        <f>HYPERLINK("https://klasma.github.io/Logging_0586/klagomål/A 57042-2021 FSC-klagomål.docx", "A 57042-2021")</f>
        <v/>
      </c>
      <c r="AB2">
        <f>HYPERLINK("https://klasma.github.io/Logging_0586/klagomålsmail/A 57042-2021 FSC-klagomål mail.docx", "A 57042-2021")</f>
        <v/>
      </c>
      <c r="AC2">
        <f>HYPERLINK("https://klasma.github.io/Logging_0586/tillsyn/A 57042-2021 tillsynsbegäran.docx", "A 57042-2021")</f>
        <v/>
      </c>
      <c r="AD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46279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t="n">
        <v>0</v>
      </c>
      <c r="V3" s="2" t="inlineStr">
        <is>
          <t>Backsippa
Småfruktigt blågryn
Gullfingersvamp
Plattad jordtunga
Svart jordtunga</t>
        </is>
      </c>
      <c r="W3">
        <f>HYPERLINK("https://klasma.github.io/Logging_0586/artfynd/A 67603-2021 artfynd.xlsx", "A 67603-2021")</f>
        <v/>
      </c>
      <c r="X3">
        <f>HYPERLINK("https://klasma.github.io/Logging_0586/kartor/A 67603-2021 karta.png", "A 67603-2021")</f>
        <v/>
      </c>
      <c r="Y3">
        <f>HYPERLINK("https://klasma.github.io/Logging_0586/kartor_geotiff/A 67603-2021 georefererad karta.tif", "A 67603-2021")</f>
        <v/>
      </c>
      <c r="AA3">
        <f>HYPERLINK("https://klasma.github.io/Logging_0586/klagomål/A 67603-2021 FSC-klagomål.docx", "A 67603-2021")</f>
        <v/>
      </c>
      <c r="AB3">
        <f>HYPERLINK("https://klasma.github.io/Logging_0586/klagomålsmail/A 67603-2021 FSC-klagomål mail.docx", "A 67603-2021")</f>
        <v/>
      </c>
      <c r="AC3">
        <f>HYPERLINK("https://klasma.github.io/Logging_0586/tillsyn/A 67603-2021 tillsynsbegäran.docx", "A 67603-2021")</f>
        <v/>
      </c>
      <c r="AD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46279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Sommarfibbla
Sårläka
Tibast</t>
        </is>
      </c>
      <c r="W4">
        <f>HYPERLINK("https://klasma.github.io/Logging_0586/artfynd/A 31169-2026 artfynd.xlsx", "A 31169-2026")</f>
        <v/>
      </c>
      <c r="X4">
        <f>HYPERLINK("https://klasma.github.io/Logging_0586/kartor/A 31169-2026 karta.png", "A 31169-2026")</f>
        <v/>
      </c>
      <c r="Y4">
        <f>HYPERLINK("https://klasma.github.io/Logging_0586/kartor_geotiff/A 31169-2026 georefererad karta.tif", "A 31169-2026")</f>
        <v/>
      </c>
      <c r="AA4">
        <f>HYPERLINK("https://klasma.github.io/Logging_0586/klagomål/A 31169-2026 FSC-klagomål.docx", "A 31169-2026")</f>
        <v/>
      </c>
      <c r="AB4">
        <f>HYPERLINK("https://klasma.github.io/Logging_0586/klagomålsmail/A 31169-2026 FSC-klagomål mail.docx", "A 31169-2026")</f>
        <v/>
      </c>
      <c r="AC4">
        <f>HYPERLINK("https://klasma.github.io/Logging_0586/tillsyn/A 31169-2026 tillsynsbegäran.docx", "A 31169-2026")</f>
        <v/>
      </c>
      <c r="AD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46279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Backsippa
Axveronika
Flentimotej</t>
        </is>
      </c>
      <c r="W5">
        <f>HYPERLINK("https://klasma.github.io/Logging_0586/artfynd/A 23130-2025 artfynd.xlsx", "A 23130-2025")</f>
        <v/>
      </c>
      <c r="X5">
        <f>HYPERLINK("https://klasma.github.io/Logging_0586/kartor/A 23130-2025 karta.png", "A 23130-2025")</f>
        <v/>
      </c>
      <c r="Y5">
        <f>HYPERLINK("https://klasma.github.io/Logging_0586/kartor_geotiff/A 23130-2025 georefererad karta.tif", "A 23130-2025")</f>
        <v/>
      </c>
      <c r="AA5">
        <f>HYPERLINK("https://klasma.github.io/Logging_0586/klagomål/A 23130-2025 FSC-klagomål.docx", "A 23130-2025")</f>
        <v/>
      </c>
      <c r="AB5">
        <f>HYPERLINK("https://klasma.github.io/Logging_0586/klagomålsmail/A 23130-2025 FSC-klagomål mail.docx", "A 23130-2025")</f>
        <v/>
      </c>
      <c r="AC5">
        <f>HYPERLINK("https://klasma.github.io/Logging_0586/tillsyn/A 23130-2025 tillsynsbegäran.docx", "A 23130-2025")</f>
        <v/>
      </c>
      <c r="AD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46279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Kattfotslav
Flagellkvastmossa</t>
        </is>
      </c>
      <c r="W6">
        <f>HYPERLINK("https://klasma.github.io/Logging_0586/artfynd/S 2532-2022 artfynd.xlsx", "S 2532-2022")</f>
        <v/>
      </c>
      <c r="X6">
        <f>HYPERLINK("https://klasma.github.io/Logging_0586/kartor/S 2532-2022 karta.png", "S 2532-2022")</f>
        <v/>
      </c>
      <c r="Y6">
        <f>HYPERLINK("https://klasma.github.io/Logging_0586/kartor_geotiff/S 2532-2022 georefererad karta.tif", "S 2532-2022")</f>
        <v/>
      </c>
      <c r="AA6">
        <f>HYPERLINK("https://klasma.github.io/Logging_0586/klagomål/S 2532-2022 FSC-klagomål.docx", "S 2532-2022")</f>
        <v/>
      </c>
      <c r="AB6">
        <f>HYPERLINK("https://klasma.github.io/Logging_0586/klagomålsmail/S 2532-2022 FSC-klagomål mail.docx", "S 2532-2022")</f>
        <v/>
      </c>
      <c r="AC6">
        <f>HYPERLINK("https://klasma.github.io/Logging_0586/tillsyn/S 2532-2022 tillsynsbegäran.docx", "S 2532-2022")</f>
        <v/>
      </c>
      <c r="AD6">
        <f>HYPERLINK("https://klasma.github.io/Logging_0586/tillsynsmail/S 2532-2022 tillsynsbegäran mail.docx", "S 2532-2022")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46279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46279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46279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46279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46279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50403-2022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46279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2.4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2</v>
      </c>
      <c r="U12" t="n">
        <v>1</v>
      </c>
      <c r="V12" s="2" t="inlineStr">
        <is>
          <t>Springkorn</t>
        </is>
      </c>
      <c r="W12">
        <f>HYPERLINK("https://klasma.github.io/Logging_0586/artfynd/A 50403-2022 artfynd.xlsx", "A 50403-2022")</f>
        <v/>
      </c>
      <c r="X12">
        <f>HYPERLINK("https://klasma.github.io/Logging_0586/kartor/A 50403-2022 karta.png", "A 50403-2022")</f>
        <v/>
      </c>
      <c r="Y12">
        <f>HYPERLINK("https://klasma.github.io/Logging_0586/kartor_geotiff/A 50403-2022 georefererad karta.tif", "A 50403-2022")</f>
        <v/>
      </c>
      <c r="AA12">
        <f>HYPERLINK("https://klasma.github.io/Logging_0586/klagomål/A 50403-2022 FSC-klagomål.docx", "A 50403-2022")</f>
        <v/>
      </c>
      <c r="AB12">
        <f>HYPERLINK("https://klasma.github.io/Logging_0586/klagomålsmail/A 50403-2022 FSC-klagomål mail.docx", "A 50403-2022")</f>
        <v/>
      </c>
      <c r="AC12">
        <f>HYPERLINK("https://klasma.github.io/Logging_0586/tillsyn/A 50403-2022 tillsynsbegäran.docx", "A 50403-2022")</f>
        <v/>
      </c>
      <c r="AD12">
        <f>HYPERLINK("https://klasma.github.io/Logging_0586/tillsynsmail/A 50403-2022 tillsynsbegäran mail.docx", "A 50403-2022")</f>
        <v/>
      </c>
    </row>
    <row r="13" ht="15" customHeight="1">
      <c r="A13" t="inlineStr">
        <is>
          <t>A 62852-2025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46008</v>
      </c>
      <c r="E13" s="1" t="n">
        <v>46279</v>
      </c>
      <c r="F13" t="inlineStr">
        <is>
          <t>ÖSTERGÖTLANDS LÄN</t>
        </is>
      </c>
      <c r="G13" t="inlineStr">
        <is>
          <t>MJÖLBY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Tibast</t>
        </is>
      </c>
      <c r="W13">
        <f>HYPERLINK("https://klasma.github.io/Logging_0586/artfynd/A 62852-2025 artfynd.xlsx", "A 62852-2025")</f>
        <v/>
      </c>
      <c r="X13">
        <f>HYPERLINK("https://klasma.github.io/Logging_0586/kartor/A 62852-2025 karta.png", "A 62852-2025")</f>
        <v/>
      </c>
      <c r="Y13">
        <f>HYPERLINK("https://klasma.github.io/Logging_0586/kartor_geotiff/A 62852-2025 georefererad karta.tif", "A 62852-2025")</f>
        <v/>
      </c>
      <c r="AA13">
        <f>HYPERLINK("https://klasma.github.io/Logging_0586/klagomål/A 62852-2025 FSC-klagomål.docx", "A 62852-2025")</f>
        <v/>
      </c>
      <c r="AB13">
        <f>HYPERLINK("https://klasma.github.io/Logging_0586/klagomålsmail/A 62852-2025 FSC-klagomål mail.docx", "A 62852-2025")</f>
        <v/>
      </c>
      <c r="AC13">
        <f>HYPERLINK("https://klasma.github.io/Logging_0586/tillsyn/A 62852-2025 tillsynsbegäran.docx", "A 62852-2025")</f>
        <v/>
      </c>
      <c r="AD13">
        <f>HYPERLINK("https://klasma.github.io/Logging_0586/tillsynsmail/A 62852-2025 tillsynsbegäran mail.docx", "A 62852-2025")</f>
        <v/>
      </c>
    </row>
    <row r="14" ht="15" customHeight="1">
      <c r="A14" t="inlineStr">
        <is>
          <t>A 51642-2021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44462</v>
      </c>
      <c r="E14" s="1" t="n">
        <v>46279</v>
      </c>
      <c r="F14" t="inlineStr">
        <is>
          <t>ÖSTERGÖTLANDS LÄN</t>
        </is>
      </c>
      <c r="G14" t="inlineStr">
        <is>
          <t>MJÖLBY</t>
        </is>
      </c>
      <c r="I14" t="n">
        <v>2.9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Vårstarr</t>
        </is>
      </c>
      <c r="W14">
        <f>HYPERLINK("https://klasma.github.io/Logging_0586/artfynd/A 51642-2021 artfynd.xlsx", "A 51642-2021")</f>
        <v/>
      </c>
      <c r="X14">
        <f>HYPERLINK("https://klasma.github.io/Logging_0586/kartor/A 51642-2021 karta.png", "A 51642-2021")</f>
        <v/>
      </c>
      <c r="Y14">
        <f>HYPERLINK("https://klasma.github.io/Logging_0586/kartor_geotiff/A 51642-2021 georefererad karta.tif", "A 51642-2021")</f>
        <v/>
      </c>
      <c r="AA14">
        <f>HYPERLINK("https://klasma.github.io/Logging_0586/klagomål/A 51642-2021 FSC-klagomål.docx", "A 51642-2021")</f>
        <v/>
      </c>
      <c r="AB14">
        <f>HYPERLINK("https://klasma.github.io/Logging_0586/klagomålsmail/A 51642-2021 FSC-klagomål mail.docx", "A 51642-2021")</f>
        <v/>
      </c>
      <c r="AC14">
        <f>HYPERLINK("https://klasma.github.io/Logging_0586/tillsyn/A 51642-2021 tillsynsbegäran.docx", "A 51642-2021")</f>
        <v/>
      </c>
      <c r="AD14">
        <f>HYPERLINK("https://klasma.github.io/Logging_0586/tillsynsmail/A 51642-2021 tillsynsbegäran mail.docx", "A 51642-2021")</f>
        <v/>
      </c>
    </row>
    <row r="15" ht="15" customHeight="1">
      <c r="A15" t="inlineStr">
        <is>
          <t>A 51642-2021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44462</v>
      </c>
      <c r="E15" s="1" t="n">
        <v>46279</v>
      </c>
      <c r="F15" t="inlineStr">
        <is>
          <t>ÖSTERGÖTLANDS LÄN</t>
        </is>
      </c>
      <c r="G15" t="inlineStr">
        <is>
          <t>MJÖLBY</t>
        </is>
      </c>
      <c r="I15" t="n">
        <v>2.9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Vårstarr</t>
        </is>
      </c>
      <c r="W15">
        <f>HYPERLINK("https://klasma.github.io/Logging_0586/artfynd/A 51642-2021 artfynd.xlsx", "A 51642-2021")</f>
        <v/>
      </c>
      <c r="X15">
        <f>HYPERLINK("https://klasma.github.io/Logging_0586/kartor/A 51642-2021 karta.png", "A 51642-2021")</f>
        <v/>
      </c>
      <c r="Y15">
        <f>HYPERLINK("https://klasma.github.io/Logging_0586/kartor_geotiff/A 51642-2021 georefererad karta.tif", "A 51642-2021")</f>
        <v/>
      </c>
      <c r="AA15">
        <f>HYPERLINK("https://klasma.github.io/Logging_0586/klagomål/A 51642-2021 FSC-klagomål.docx", "A 51642-2021")</f>
        <v/>
      </c>
      <c r="AB15">
        <f>HYPERLINK("https://klasma.github.io/Logging_0586/klagomålsmail/A 51642-2021 FSC-klagomål mail.docx", "A 51642-2021")</f>
        <v/>
      </c>
      <c r="AC15">
        <f>HYPERLINK("https://klasma.github.io/Logging_0586/tillsyn/A 51642-2021 tillsynsbegäran.docx", "A 51642-2021")</f>
        <v/>
      </c>
      <c r="AD15">
        <f>HYPERLINK("https://klasma.github.io/Logging_0586/tillsynsmail/A 51642-2021 tillsynsbegäran mail.docx", "A 51642-2021")</f>
        <v/>
      </c>
    </row>
    <row r="16" ht="15" customHeight="1">
      <c r="A16" t="inlineStr">
        <is>
          <t>A 9030-2022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44615</v>
      </c>
      <c r="E16" s="1" t="n">
        <v>46279</v>
      </c>
      <c r="F16" t="inlineStr">
        <is>
          <t>ÖSTERGÖTLANDS LÄN</t>
        </is>
      </c>
      <c r="G16" t="inlineStr">
        <is>
          <t>MJÖLBY</t>
        </is>
      </c>
      <c r="I16" t="n">
        <v>2.1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HYPERLINK("https://klasma.github.io/Logging_0586/artfynd/A 9030-2022 artfynd.xlsx", "A 9030-2022")</f>
        <v/>
      </c>
      <c r="X16">
        <f>HYPERLINK("https://klasma.github.io/Logging_0586/kartor/A 9030-2022 karta.png", "A 9030-2022")</f>
        <v/>
      </c>
      <c r="Y16">
        <f>HYPERLINK("https://klasma.github.io/Logging_0586/kartor_geotiff/A 9030-2022 georefererad karta.tif", "A 9030-2022")</f>
        <v/>
      </c>
      <c r="AA16">
        <f>HYPERLINK("https://klasma.github.io/Logging_0586/klagomål/A 9030-2022 FSC-klagomål.docx", "A 9030-2022")</f>
        <v/>
      </c>
      <c r="AB16">
        <f>HYPERLINK("https://klasma.github.io/Logging_0586/klagomålsmail/A 9030-2022 FSC-klagomål mail.docx", "A 9030-2022")</f>
        <v/>
      </c>
      <c r="AC16">
        <f>HYPERLINK("https://klasma.github.io/Logging_0586/tillsyn/A 9030-2022 tillsynsbegäran.docx", "A 9030-2022")</f>
        <v/>
      </c>
      <c r="AD16">
        <f>HYPERLINK("https://klasma.github.io/Logging_0586/tillsynsmail/A 9030-2022 tillsynsbegäran mail.docx", "A 9030-2022")</f>
        <v/>
      </c>
    </row>
    <row r="17" ht="15" customHeight="1">
      <c r="A17" t="inlineStr">
        <is>
          <t>A 45164-2023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45191</v>
      </c>
      <c r="E17" s="1" t="n">
        <v>46279</v>
      </c>
      <c r="F17" t="inlineStr">
        <is>
          <t>ÖSTERGÖTLANDS LÄN</t>
        </is>
      </c>
      <c r="G17" t="inlineStr">
        <is>
          <t>MJÖLBY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Skogsduva</t>
        </is>
      </c>
      <c r="W17">
        <f>HYPERLINK("https://klasma.github.io/Logging_0586/artfynd/A 45164-2023 artfynd.xlsx", "A 45164-2023")</f>
        <v/>
      </c>
      <c r="X17">
        <f>HYPERLINK("https://klasma.github.io/Logging_0586/kartor/A 45164-2023 karta.png", "A 45164-2023")</f>
        <v/>
      </c>
      <c r="Y17">
        <f>HYPERLINK("https://klasma.github.io/Logging_0586/kartor_geotiff/A 45164-2023 georefererad karta.tif", "A 45164-2023")</f>
        <v/>
      </c>
      <c r="AA17">
        <f>HYPERLINK("https://klasma.github.io/Logging_0586/klagomål/A 45164-2023 FSC-klagomål.docx", "A 45164-2023")</f>
        <v/>
      </c>
      <c r="AB17">
        <f>HYPERLINK("https://klasma.github.io/Logging_0586/klagomålsmail/A 45164-2023 FSC-klagomål mail.docx", "A 45164-2023")</f>
        <v/>
      </c>
      <c r="AC17">
        <f>HYPERLINK("https://klasma.github.io/Logging_0586/tillsyn/A 45164-2023 tillsynsbegäran.docx", "A 45164-2023")</f>
        <v/>
      </c>
      <c r="AD17">
        <f>HYPERLINK("https://klasma.github.io/Logging_0586/tillsynsmail/A 45164-2023 tillsynsbegäran mail.docx", "A 45164-2023")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46279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32573-2026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46239</v>
      </c>
      <c r="E19" s="1" t="n">
        <v>46279</v>
      </c>
      <c r="F19" t="inlineStr">
        <is>
          <t>ÖSTERGÖTLANDS LÄN</t>
        </is>
      </c>
      <c r="G19" t="inlineStr">
        <is>
          <t>MJÖLBY</t>
        </is>
      </c>
      <c r="H19" t="inlineStr">
        <is>
          <t>Övriga Aktiebolag</t>
        </is>
      </c>
      <c r="I19" t="n">
        <v>6.6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Lunglav</t>
        </is>
      </c>
      <c r="W19">
        <f>HYPERLINK("https://klasma.github.io/Logging_0586/artfynd/A 32573-2026 artfynd.xlsx", "A 32573-2026")</f>
        <v/>
      </c>
      <c r="X19">
        <f>HYPERLINK("https://klasma.github.io/Logging_0586/kartor/A 32573-2026 karta.png", "A 32573-2026")</f>
        <v/>
      </c>
      <c r="Y19">
        <f>HYPERLINK("https://klasma.github.io/Logging_0586/kartor_geotiff/A 32573-2026 georefererad karta.tif", "A 32573-2026")</f>
        <v/>
      </c>
      <c r="AA19">
        <f>HYPERLINK("https://klasma.github.io/Logging_0586/klagomål/A 32573-2026 FSC-klagomål.docx", "A 32573-2026")</f>
        <v/>
      </c>
      <c r="AB19">
        <f>HYPERLINK("https://klasma.github.io/Logging_0586/klagomålsmail/A 32573-2026 FSC-klagomål mail.docx", "A 32573-2026")</f>
        <v/>
      </c>
      <c r="AC19">
        <f>HYPERLINK("https://klasma.github.io/Logging_0586/tillsyn/A 32573-2026 tillsynsbegäran.docx", "A 32573-2026")</f>
        <v/>
      </c>
      <c r="AD19">
        <f>HYPERLINK("https://klasma.github.io/Logging_0586/tillsynsmail/A 32573-2026 tillsynsbegäran mail.docx", "A 32573-2026")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46279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Klubbsprötad bastardsvärmare</t>
        </is>
      </c>
      <c r="W20">
        <f>HYPERLINK("https://klasma.github.io/Logging_0586/artfynd/A 13567-2025 artfynd.xlsx", "A 13567-2025")</f>
        <v/>
      </c>
      <c r="X20">
        <f>HYPERLINK("https://klasma.github.io/Logging_0586/kartor/A 13567-2025 karta.png", "A 13567-2025")</f>
        <v/>
      </c>
      <c r="Y20">
        <f>HYPERLINK("https://klasma.github.io/Logging_0586/kartor_geotiff/A 13567-2025 georefererad karta.tif", "A 13567-2025")</f>
        <v/>
      </c>
      <c r="AA20">
        <f>HYPERLINK("https://klasma.github.io/Logging_0586/klagomål/A 13567-2025 FSC-klagomål.docx", "A 13567-2025")</f>
        <v/>
      </c>
      <c r="AB20">
        <f>HYPERLINK("https://klasma.github.io/Logging_0586/klagomålsmail/A 13567-2025 FSC-klagomål mail.docx", "A 13567-2025")</f>
        <v/>
      </c>
      <c r="AC20">
        <f>HYPERLINK("https://klasma.github.io/Logging_0586/tillsyn/A 13567-2025 tillsynsbegäran.docx", "A 13567-2025")</f>
        <v/>
      </c>
      <c r="AD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46279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Svinrot</t>
        </is>
      </c>
      <c r="W21">
        <f>HYPERLINK("https://klasma.github.io/Logging_0586/artfynd/A 22327-2024 artfynd.xlsx", "A 22327-2024")</f>
        <v/>
      </c>
      <c r="X21">
        <f>HYPERLINK("https://klasma.github.io/Logging_0586/kartor/A 22327-2024 karta.png", "A 22327-2024")</f>
        <v/>
      </c>
      <c r="Y21">
        <f>HYPERLINK("https://klasma.github.io/Logging_0586/kartor_geotiff/A 22327-2024 georefererad karta.tif", "A 22327-2024")</f>
        <v/>
      </c>
      <c r="AA21">
        <f>HYPERLINK("https://klasma.github.io/Logging_0586/klagomål/A 22327-2024 FSC-klagomål.docx", "A 22327-2024")</f>
        <v/>
      </c>
      <c r="AB21">
        <f>HYPERLINK("https://klasma.github.io/Logging_0586/klagomålsmail/A 22327-2024 FSC-klagomål mail.docx", "A 22327-2024")</f>
        <v/>
      </c>
      <c r="AC21">
        <f>HYPERLINK("https://klasma.github.io/Logging_0586/tillsyn/A 22327-2024 tillsynsbegäran.docx", "A 22327-2024")</f>
        <v/>
      </c>
      <c r="AD21">
        <f>HYPERLINK("https://klasma.github.io/Logging_0586/tillsynsmail/A 22327-2024 tillsynsbegäran mail.docx", "A 22327-2024")</f>
        <v/>
      </c>
    </row>
    <row r="22" ht="15" customHeight="1">
      <c r="A22" t="inlineStr">
        <is>
          <t>A 34869-2026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46255</v>
      </c>
      <c r="E22" s="1" t="n">
        <v>46279</v>
      </c>
      <c r="F22" t="inlineStr">
        <is>
          <t>ÖSTERGÖTLANDS LÄN</t>
        </is>
      </c>
      <c r="G22" t="inlineStr">
        <is>
          <t>MJÖLBY</t>
        </is>
      </c>
      <c r="I22" t="n">
        <v>1.3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0</v>
      </c>
      <c r="V22" s="2" t="inlineStr">
        <is>
          <t>Backsippa</t>
        </is>
      </c>
      <c r="W22">
        <f>HYPERLINK("https://klasma.github.io/Logging_0586/artfynd/A 34869-2026 artfynd.xlsx", "A 34869-2026")</f>
        <v/>
      </c>
      <c r="X22">
        <f>HYPERLINK("https://klasma.github.io/Logging_0586/kartor/A 34869-2026 karta.png", "A 34869-2026")</f>
        <v/>
      </c>
      <c r="Y22">
        <f>HYPERLINK("https://klasma.github.io/Logging_0586/kartor_geotiff/A 34869-2026 georefererad karta.tif", "A 34869-2026")</f>
        <v/>
      </c>
      <c r="AA22">
        <f>HYPERLINK("https://klasma.github.io/Logging_0586/klagomål/A 34869-2026 FSC-klagomål.docx", "A 34869-2026")</f>
        <v/>
      </c>
      <c r="AB22">
        <f>HYPERLINK("https://klasma.github.io/Logging_0586/klagomålsmail/A 34869-2026 FSC-klagomål mail.docx", "A 34869-2026")</f>
        <v/>
      </c>
      <c r="AC22">
        <f>HYPERLINK("https://klasma.github.io/Logging_0586/tillsyn/A 34869-2026 tillsynsbegäran.docx", "A 34869-2026")</f>
        <v/>
      </c>
      <c r="AD22">
        <f>HYPERLINK("https://klasma.github.io/Logging_0586/tillsynsmail/A 34869-2026 tillsynsbegäran mail.docx", "A 34869-2026")</f>
        <v/>
      </c>
    </row>
    <row r="23" ht="15" customHeight="1">
      <c r="A23" t="inlineStr">
        <is>
          <t>A 33532-2024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45519</v>
      </c>
      <c r="E23" s="1" t="n">
        <v>46279</v>
      </c>
      <c r="F23" t="inlineStr">
        <is>
          <t>ÖSTERGÖTLANDS LÄN</t>
        </is>
      </c>
      <c r="G23" t="inlineStr">
        <is>
          <t>MJÖLBY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HYPERLINK("https://klasma.github.io/Logging_0586/artfynd/A 33532-2024 artfynd.xlsx", "A 33532-2024")</f>
        <v/>
      </c>
      <c r="X23">
        <f>HYPERLINK("https://klasma.github.io/Logging_0586/kartor/A 33532-2024 karta.png", "A 33532-2024")</f>
        <v/>
      </c>
      <c r="Y23">
        <f>HYPERLINK("https://klasma.github.io/Logging_0586/kartor_geotiff/A 33532-2024 georefererad karta.tif", "A 33532-2024")</f>
        <v/>
      </c>
      <c r="AA23">
        <f>HYPERLINK("https://klasma.github.io/Logging_0586/klagomål/A 33532-2024 FSC-klagomål.docx", "A 33532-2024")</f>
        <v/>
      </c>
      <c r="AB23">
        <f>HYPERLINK("https://klasma.github.io/Logging_0586/klagomålsmail/A 33532-2024 FSC-klagomål mail.docx", "A 33532-2024")</f>
        <v/>
      </c>
      <c r="AC23">
        <f>HYPERLINK("https://klasma.github.io/Logging_0586/tillsyn/A 33532-2024 tillsynsbegäran.docx", "A 33532-2024")</f>
        <v/>
      </c>
      <c r="AD23">
        <f>HYPERLINK("https://klasma.github.io/Logging_0586/tillsynsmail/A 33532-2024 tillsynsbegäran mail.docx", "A 33532-2024")</f>
        <v/>
      </c>
    </row>
    <row r="24" ht="15" customHeight="1">
      <c r="A24" t="inlineStr">
        <is>
          <t>A 60983-2023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45261</v>
      </c>
      <c r="E24" s="1" t="n">
        <v>46279</v>
      </c>
      <c r="F24" t="inlineStr">
        <is>
          <t>ÖSTERGÖTLANDS LÄN</t>
        </is>
      </c>
      <c r="G24" t="inlineStr">
        <is>
          <t>MJÖLBY</t>
        </is>
      </c>
      <c r="I24" t="n">
        <v>3.8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Grönvit nattviol</t>
        </is>
      </c>
      <c r="W24">
        <f>HYPERLINK("https://klasma.github.io/Logging_0586/artfynd/A 60983-2023 artfynd.xlsx", "A 60983-2023")</f>
        <v/>
      </c>
      <c r="X24">
        <f>HYPERLINK("https://klasma.github.io/Logging_0586/kartor/A 60983-2023 karta.png", "A 60983-2023")</f>
        <v/>
      </c>
      <c r="Y24">
        <f>HYPERLINK("https://klasma.github.io/Logging_0586/kartor_geotiff/A 60983-2023 georefererad karta.tif", "A 60983-2023")</f>
        <v/>
      </c>
      <c r="AA24">
        <f>HYPERLINK("https://klasma.github.io/Logging_0586/klagomål/A 60983-2023 FSC-klagomål.docx", "A 60983-2023")</f>
        <v/>
      </c>
      <c r="AB24">
        <f>HYPERLINK("https://klasma.github.io/Logging_0586/klagomålsmail/A 60983-2023 FSC-klagomål mail.docx", "A 60983-2023")</f>
        <v/>
      </c>
      <c r="AC24">
        <f>HYPERLINK("https://klasma.github.io/Logging_0586/tillsyn/A 60983-2023 tillsynsbegäran.docx", "A 60983-2023")</f>
        <v/>
      </c>
      <c r="AD24">
        <f>HYPERLINK("https://klasma.github.io/Logging_0586/tillsynsmail/A 60983-2023 tillsynsbegäran mail.docx", "A 60983-2023")</f>
        <v/>
      </c>
    </row>
    <row r="25" ht="15" customHeight="1">
      <c r="A25" t="inlineStr">
        <is>
          <t>A 53521-2023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46279</v>
      </c>
      <c r="F25" t="inlineStr">
        <is>
          <t>ÖSTERGÖTLANDS LÄN</t>
        </is>
      </c>
      <c r="G25" t="inlineStr">
        <is>
          <t>MJÖLBY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Skogsduva</t>
        </is>
      </c>
      <c r="W25">
        <f>HYPERLINK("https://klasma.github.io/Logging_0586/artfynd/A 53521-2023 artfynd.xlsx", "A 53521-2023")</f>
        <v/>
      </c>
      <c r="X25">
        <f>HYPERLINK("https://klasma.github.io/Logging_0586/kartor/A 53521-2023 karta.png", "A 53521-2023")</f>
        <v/>
      </c>
      <c r="Y25">
        <f>HYPERLINK("https://klasma.github.io/Logging_0586/kartor_geotiff/A 53521-2023 georefererad karta.tif", "A 53521-2023")</f>
        <v/>
      </c>
      <c r="AA25">
        <f>HYPERLINK("https://klasma.github.io/Logging_0586/klagomål/A 53521-2023 FSC-klagomål.docx", "A 53521-2023")</f>
        <v/>
      </c>
      <c r="AB25">
        <f>HYPERLINK("https://klasma.github.io/Logging_0586/klagomålsmail/A 53521-2023 FSC-klagomål mail.docx", "A 53521-2023")</f>
        <v/>
      </c>
      <c r="AC25">
        <f>HYPERLINK("https://klasma.github.io/Logging_0586/tillsyn/A 53521-2023 tillsynsbegäran.docx", "A 53521-2023")</f>
        <v/>
      </c>
      <c r="AD25">
        <f>HYPERLINK("https://klasma.github.io/Logging_0586/tillsynsmail/A 53521-2023 tillsynsbegäran mail.docx", "A 53521-2023")</f>
        <v/>
      </c>
    </row>
    <row r="26" ht="15" customHeight="1">
      <c r="A26" t="inlineStr">
        <is>
          <t>A 2230-2025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45673</v>
      </c>
      <c r="E26" s="1" t="n">
        <v>46279</v>
      </c>
      <c r="F26" t="inlineStr">
        <is>
          <t>ÖSTERGÖTLANDS LÄN</t>
        </is>
      </c>
      <c r="G26" t="inlineStr">
        <is>
          <t>MJÖLBY</t>
        </is>
      </c>
      <c r="I26" t="n">
        <v>1.6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Fläcknycklar</t>
        </is>
      </c>
      <c r="W26">
        <f>HYPERLINK("https://klasma.github.io/Logging_0586/artfynd/A 2230-2025 artfynd.xlsx", "A 2230-2025")</f>
        <v/>
      </c>
      <c r="X26">
        <f>HYPERLINK("https://klasma.github.io/Logging_0586/kartor/A 2230-2025 karta.png", "A 2230-2025")</f>
        <v/>
      </c>
      <c r="Y26">
        <f>HYPERLINK("https://klasma.github.io/Logging_0586/kartor_geotiff/A 2230-2025 georefererad karta.tif", "A 2230-2025")</f>
        <v/>
      </c>
      <c r="AA26">
        <f>HYPERLINK("https://klasma.github.io/Logging_0586/klagomål/A 2230-2025 FSC-klagomål.docx", "A 2230-2025")</f>
        <v/>
      </c>
      <c r="AB26">
        <f>HYPERLINK("https://klasma.github.io/Logging_0586/klagomålsmail/A 2230-2025 FSC-klagomål mail.docx", "A 2230-2025")</f>
        <v/>
      </c>
      <c r="AC26">
        <f>HYPERLINK("https://klasma.github.io/Logging_0586/tillsyn/A 2230-2025 tillsynsbegäran.docx", "A 2230-2025")</f>
        <v/>
      </c>
      <c r="AD26">
        <f>HYPERLINK("https://klasma.github.io/Logging_0586/tillsynsmail/A 2230-2025 tillsynsbegäran mail.docx", "A 2230-2025")</f>
        <v/>
      </c>
    </row>
    <row r="27" ht="15" customHeight="1">
      <c r="A27" t="inlineStr">
        <is>
          <t>A 54444-2021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44473</v>
      </c>
      <c r="E27" s="1" t="n">
        <v>46279</v>
      </c>
      <c r="F27" t="inlineStr">
        <is>
          <t>ÖSTERGÖTLANDS LÄN</t>
        </is>
      </c>
      <c r="G27" t="inlineStr">
        <is>
          <t>MJÖLBY</t>
        </is>
      </c>
      <c r="I27" t="n">
        <v>1.3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Ängshök</t>
        </is>
      </c>
      <c r="W27">
        <f>HYPERLINK("https://klasma.github.io/Logging_0586/artfynd/A 54444-2021 artfynd.xlsx", "A 54444-2021")</f>
        <v/>
      </c>
      <c r="X27">
        <f>HYPERLINK("https://klasma.github.io/Logging_0586/kartor/A 54444-2021 karta.png", "A 54444-2021")</f>
        <v/>
      </c>
      <c r="Y27">
        <f>HYPERLINK("https://klasma.github.io/Logging_0586/kartor_geotiff/A 54444-2021 georefererad karta.tif", "A 54444-2021")</f>
        <v/>
      </c>
      <c r="AA27">
        <f>HYPERLINK("https://klasma.github.io/Logging_0586/klagomål/A 54444-2021 FSC-klagomål.docx", "A 54444-2021")</f>
        <v/>
      </c>
      <c r="AB27">
        <f>HYPERLINK("https://klasma.github.io/Logging_0586/klagomålsmail/A 54444-2021 FSC-klagomål mail.docx", "A 54444-2021")</f>
        <v/>
      </c>
      <c r="AC27">
        <f>HYPERLINK("https://klasma.github.io/Logging_0586/tillsyn/A 54444-2021 tillsynsbegäran.docx", "A 54444-2021")</f>
        <v/>
      </c>
      <c r="AD27">
        <f>HYPERLINK("https://klasma.github.io/Logging_0586/tillsynsmail/A 54444-2021 tillsynsbegäran mail.docx", "A 54444-2021")</f>
        <v/>
      </c>
    </row>
    <row r="28" ht="15" customHeight="1">
      <c r="A28" t="inlineStr">
        <is>
          <t>A 1554-2022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46279</v>
      </c>
      <c r="F28" t="inlineStr">
        <is>
          <t>ÖSTERGÖTLANDS LÄN</t>
        </is>
      </c>
      <c r="G28" t="inlineStr">
        <is>
          <t>MJÖLBY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44652-2022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44840</v>
      </c>
      <c r="E29" s="1" t="n">
        <v>46279</v>
      </c>
      <c r="F29" t="inlineStr">
        <is>
          <t>ÖSTERGÖTLANDS LÄN</t>
        </is>
      </c>
      <c r="G29" t="inlineStr">
        <is>
          <t>MJÖLBY</t>
        </is>
      </c>
      <c r="H29" t="inlineStr">
        <is>
          <t>Kommuner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1552-2022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44573</v>
      </c>
      <c r="E30" s="1" t="n">
        <v>46279</v>
      </c>
      <c r="F30" t="inlineStr">
        <is>
          <t>ÖSTERGÖTLANDS LÄN</t>
        </is>
      </c>
      <c r="G30" t="inlineStr">
        <is>
          <t>MJÖLBY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72290-2021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44545</v>
      </c>
      <c r="E31" s="1" t="n">
        <v>46279</v>
      </c>
      <c r="F31" t="inlineStr">
        <is>
          <t>ÖSTERGÖTLANDS LÄN</t>
        </is>
      </c>
      <c r="G31" t="inlineStr">
        <is>
          <t>MJÖLBY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56458-2021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44480</v>
      </c>
      <c r="E32" s="1" t="n">
        <v>46279</v>
      </c>
      <c r="F32" t="inlineStr">
        <is>
          <t>ÖSTERGÖTLANDS LÄN</t>
        </is>
      </c>
      <c r="G32" t="inlineStr">
        <is>
          <t>MJÖLBY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46279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46279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46279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12253-2024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45378</v>
      </c>
      <c r="E36" s="1" t="n">
        <v>46279</v>
      </c>
      <c r="F36" t="inlineStr">
        <is>
          <t>ÖSTERGÖTLANDS LÄN</t>
        </is>
      </c>
      <c r="G36" t="inlineStr">
        <is>
          <t>MJÖLBY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12254-2024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46279</v>
      </c>
      <c r="F37" t="inlineStr">
        <is>
          <t>ÖSTERGÖTLANDS LÄN</t>
        </is>
      </c>
      <c r="G37" t="inlineStr">
        <is>
          <t>MJÖLBY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51475-2023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45221</v>
      </c>
      <c r="E38" s="1" t="n">
        <v>46279</v>
      </c>
      <c r="F38" t="inlineStr">
        <is>
          <t>ÖSTERGÖTLANDS LÄN</t>
        </is>
      </c>
      <c r="G38" t="inlineStr">
        <is>
          <t>MJÖLBY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17707-2023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45037</v>
      </c>
      <c r="E39" s="1" t="n">
        <v>46279</v>
      </c>
      <c r="F39" t="inlineStr">
        <is>
          <t>ÖSTERGÖTLANDS LÄN</t>
        </is>
      </c>
      <c r="G39" t="inlineStr">
        <is>
          <t>MJÖLBY</t>
        </is>
      </c>
      <c r="I39" t="n">
        <v>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49566-2021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44455</v>
      </c>
      <c r="E40" s="1" t="n">
        <v>46279</v>
      </c>
      <c r="F40" t="inlineStr">
        <is>
          <t>ÖSTERGÖTLANDS LÄN</t>
        </is>
      </c>
      <c r="G40" t="inlineStr">
        <is>
          <t>MJÖLBY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53518-2022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44879</v>
      </c>
      <c r="E41" s="1" t="n">
        <v>46279</v>
      </c>
      <c r="F41" t="inlineStr">
        <is>
          <t>ÖSTERGÖTLANDS LÄN</t>
        </is>
      </c>
      <c r="G41" t="inlineStr">
        <is>
          <t>MJÖLBY</t>
        </is>
      </c>
      <c r="I41" t="n">
        <v>3.7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46279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72563-2021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46279</v>
      </c>
      <c r="F43" t="inlineStr">
        <is>
          <t>ÖSTERGÖTLANDS LÄN</t>
        </is>
      </c>
      <c r="G43" t="inlineStr">
        <is>
          <t>MJÖLBY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72558-2021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44546</v>
      </c>
      <c r="E44" s="1" t="n">
        <v>46279</v>
      </c>
      <c r="F44" t="inlineStr">
        <is>
          <t>ÖSTERGÖTLANDS LÄN</t>
        </is>
      </c>
      <c r="G44" t="inlineStr">
        <is>
          <t>MJÖLBY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66977-2021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44522</v>
      </c>
      <c r="E45" s="1" t="n">
        <v>46279</v>
      </c>
      <c r="F45" t="inlineStr">
        <is>
          <t>ÖSTERGÖTLANDS LÄN</t>
        </is>
      </c>
      <c r="G45" t="inlineStr">
        <is>
          <t>MJÖLBY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65921-2021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44517</v>
      </c>
      <c r="E46" s="1" t="n">
        <v>46279</v>
      </c>
      <c r="F46" t="inlineStr">
        <is>
          <t>ÖSTERGÖTLANDS LÄN</t>
        </is>
      </c>
      <c r="G46" t="inlineStr">
        <is>
          <t>MJÖLBY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50179-2023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45208</v>
      </c>
      <c r="E47" s="1" t="n">
        <v>46279</v>
      </c>
      <c r="F47" t="inlineStr">
        <is>
          <t>ÖSTERGÖTLANDS LÄN</t>
        </is>
      </c>
      <c r="G47" t="inlineStr">
        <is>
          <t>MJÖLBY</t>
        </is>
      </c>
      <c r="I47" t="n">
        <v>5.6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50570-2023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45217</v>
      </c>
      <c r="E48" s="1" t="n">
        <v>46279</v>
      </c>
      <c r="F48" t="inlineStr">
        <is>
          <t>ÖSTERGÖTLANDS LÄN</t>
        </is>
      </c>
      <c r="G48" t="inlineStr">
        <is>
          <t>MJÖLBY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39950-2024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45553</v>
      </c>
      <c r="E49" s="1" t="n">
        <v>46279</v>
      </c>
      <c r="F49" t="inlineStr">
        <is>
          <t>ÖSTERGÖTLANDS LÄN</t>
        </is>
      </c>
      <c r="G49" t="inlineStr">
        <is>
          <t>MJÖLBY</t>
        </is>
      </c>
      <c r="H49" t="inlineStr">
        <is>
          <t>Kyrkan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44957</v>
      </c>
      <c r="E50" s="1" t="n">
        <v>46279</v>
      </c>
      <c r="F50" t="inlineStr">
        <is>
          <t>ÖSTERGÖTLANDS LÄN</t>
        </is>
      </c>
      <c r="G50" t="inlineStr">
        <is>
          <t>MJÖLBY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10980-2024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45370</v>
      </c>
      <c r="E51" s="1" t="n">
        <v>46279</v>
      </c>
      <c r="F51" t="inlineStr">
        <is>
          <t>ÖSTERGÖTLANDS LÄN</t>
        </is>
      </c>
      <c r="G51" t="inlineStr">
        <is>
          <t>MJÖLBY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46279</v>
      </c>
      <c r="F52" t="inlineStr">
        <is>
          <t>ÖSTERGÖTLANDS LÄN</t>
        </is>
      </c>
      <c r="G52" t="inlineStr">
        <is>
          <t>MJÖLBY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43012-2024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45567</v>
      </c>
      <c r="E53" s="1" t="n">
        <v>46279</v>
      </c>
      <c r="F53" t="inlineStr">
        <is>
          <t>ÖSTERGÖTLANDS LÄN</t>
        </is>
      </c>
      <c r="G53" t="inlineStr">
        <is>
          <t>MJÖLBY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60964-2023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45261</v>
      </c>
      <c r="E54" s="1" t="n">
        <v>46279</v>
      </c>
      <c r="F54" t="inlineStr">
        <is>
          <t>ÖSTERGÖTLANDS LÄN</t>
        </is>
      </c>
      <c r="G54" t="inlineStr">
        <is>
          <t>MJÖLBY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15276-2022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44659</v>
      </c>
      <c r="E55" s="1" t="n">
        <v>46279</v>
      </c>
      <c r="F55" t="inlineStr">
        <is>
          <t>ÖSTERGÖTLANDS LÄN</t>
        </is>
      </c>
      <c r="G55" t="inlineStr">
        <is>
          <t>MJÖLBY</t>
        </is>
      </c>
      <c r="H55" t="inlineStr">
        <is>
          <t>Kyrkan</t>
        </is>
      </c>
      <c r="I55" t="n">
        <v>7.6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30468-2025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45827</v>
      </c>
      <c r="E56" s="1" t="n">
        <v>46279</v>
      </c>
      <c r="F56" t="inlineStr">
        <is>
          <t>ÖSTERGÖTLANDS LÄN</t>
        </is>
      </c>
      <c r="G56" t="inlineStr">
        <is>
          <t>MJÖLBY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1293-2023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44936</v>
      </c>
      <c r="E57" s="1" t="n">
        <v>46279</v>
      </c>
      <c r="F57" t="inlineStr">
        <is>
          <t>ÖSTERGÖTLANDS LÄN</t>
        </is>
      </c>
      <c r="G57" t="inlineStr">
        <is>
          <t>MJÖLBY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23781-2025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45793</v>
      </c>
      <c r="E58" s="1" t="n">
        <v>46279</v>
      </c>
      <c r="F58" t="inlineStr">
        <is>
          <t>ÖSTERGÖTLANDS LÄN</t>
        </is>
      </c>
      <c r="G58" t="inlineStr">
        <is>
          <t>MJÖLBY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31623-2025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45834</v>
      </c>
      <c r="E59" s="1" t="n">
        <v>46279</v>
      </c>
      <c r="F59" t="inlineStr">
        <is>
          <t>ÖSTERGÖTLANDS LÄN</t>
        </is>
      </c>
      <c r="G59" t="inlineStr">
        <is>
          <t>MJÖLBY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64934-2023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46279</v>
      </c>
      <c r="F60" t="inlineStr">
        <is>
          <t>ÖSTERGÖTLANDS LÄN</t>
        </is>
      </c>
      <c r="G60" t="inlineStr">
        <is>
          <t>MJÖLBY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45834</v>
      </c>
      <c r="E61" s="1" t="n">
        <v>46279</v>
      </c>
      <c r="F61" t="inlineStr">
        <is>
          <t>ÖSTERGÖTLANDS LÄN</t>
        </is>
      </c>
      <c r="G61" t="inlineStr">
        <is>
          <t>MJÖLBY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59234-2022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44904</v>
      </c>
      <c r="E62" s="1" t="n">
        <v>46279</v>
      </c>
      <c r="F62" t="inlineStr">
        <is>
          <t>ÖSTERGÖTLANDS LÄN</t>
        </is>
      </c>
      <c r="G62" t="inlineStr">
        <is>
          <t>MJÖLBY</t>
        </is>
      </c>
      <c r="H62" t="inlineStr">
        <is>
          <t>Övriga Aktiebolag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55730-2022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44888</v>
      </c>
      <c r="E63" s="1" t="n">
        <v>46279</v>
      </c>
      <c r="F63" t="inlineStr">
        <is>
          <t>ÖSTERGÖTLANDS LÄN</t>
        </is>
      </c>
      <c r="G63" t="inlineStr">
        <is>
          <t>MJÖLBY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50339-2023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45216</v>
      </c>
      <c r="E64" s="1" t="n">
        <v>46279</v>
      </c>
      <c r="F64" t="inlineStr">
        <is>
          <t>ÖSTERGÖTLANDS LÄN</t>
        </is>
      </c>
      <c r="G64" t="inlineStr">
        <is>
          <t>MJÖLBY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15491-2024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45401</v>
      </c>
      <c r="E65" s="1" t="n">
        <v>46279</v>
      </c>
      <c r="F65" t="inlineStr">
        <is>
          <t>ÖSTERGÖTLANDS LÄN</t>
        </is>
      </c>
      <c r="G65" t="inlineStr">
        <is>
          <t>MJÖLBY</t>
        </is>
      </c>
      <c r="H65" t="inlineStr">
        <is>
          <t>Sveaskog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37806-2022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44810</v>
      </c>
      <c r="E66" s="1" t="n">
        <v>46279</v>
      </c>
      <c r="F66" t="inlineStr">
        <is>
          <t>ÖSTERGÖTLANDS LÄN</t>
        </is>
      </c>
      <c r="G66" t="inlineStr">
        <is>
          <t>MJÖLBY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43032-2025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45909</v>
      </c>
      <c r="E67" s="1" t="n">
        <v>46279</v>
      </c>
      <c r="F67" t="inlineStr">
        <is>
          <t>ÖSTERGÖTLANDS LÄN</t>
        </is>
      </c>
      <c r="G67" t="inlineStr">
        <is>
          <t>MJÖLBY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64930-2023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45282</v>
      </c>
      <c r="E68" s="1" t="n">
        <v>46279</v>
      </c>
      <c r="F68" t="inlineStr">
        <is>
          <t>ÖSTERGÖTLANDS LÄN</t>
        </is>
      </c>
      <c r="G68" t="inlineStr">
        <is>
          <t>MJÖLBY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24866-2023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46279</v>
      </c>
      <c r="F69" t="inlineStr">
        <is>
          <t>ÖSTERGÖTLANDS LÄN</t>
        </is>
      </c>
      <c r="G69" t="inlineStr">
        <is>
          <t>MJÖLBY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45909</v>
      </c>
      <c r="E70" s="1" t="n">
        <v>46279</v>
      </c>
      <c r="F70" t="inlineStr">
        <is>
          <t>ÖSTERGÖTLANDS LÄN</t>
        </is>
      </c>
      <c r="G70" t="inlineStr">
        <is>
          <t>MJÖLBY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37802-2022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44810</v>
      </c>
      <c r="E71" s="1" t="n">
        <v>46279</v>
      </c>
      <c r="F71" t="inlineStr">
        <is>
          <t>ÖSTERGÖTLANDS LÄN</t>
        </is>
      </c>
      <c r="G71" t="inlineStr">
        <is>
          <t>MJÖLBY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46279</v>
      </c>
      <c r="F72" t="inlineStr">
        <is>
          <t>ÖSTERGÖTLANDS LÄN</t>
        </is>
      </c>
      <c r="G72" t="inlineStr">
        <is>
          <t>MJÖLBY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44757-2025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46279</v>
      </c>
      <c r="F73" t="inlineStr">
        <is>
          <t>ÖSTERGÖTLANDS LÄN</t>
        </is>
      </c>
      <c r="G73" t="inlineStr">
        <is>
          <t>MJÖLBY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44946</v>
      </c>
      <c r="E74" s="1" t="n">
        <v>46279</v>
      </c>
      <c r="F74" t="inlineStr">
        <is>
          <t>ÖSTERGÖTLANDS LÄN</t>
        </is>
      </c>
      <c r="G74" t="inlineStr">
        <is>
          <t>MJÖLBY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46164-2025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46279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46144-2025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46279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46159-2025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45924</v>
      </c>
      <c r="E77" s="1" t="n">
        <v>46279</v>
      </c>
      <c r="F77" t="inlineStr">
        <is>
          <t>ÖSTERGÖTLANDS LÄN</t>
        </is>
      </c>
      <c r="G77" t="inlineStr">
        <is>
          <t>MJÖLBY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58415-2021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44488</v>
      </c>
      <c r="E78" s="1" t="n">
        <v>46279</v>
      </c>
      <c r="F78" t="inlineStr">
        <is>
          <t>ÖSTERGÖTLANDS LÄN</t>
        </is>
      </c>
      <c r="G78" t="inlineStr">
        <is>
          <t>MJÖLBY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46521-2025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46279</v>
      </c>
      <c r="F79" t="inlineStr">
        <is>
          <t>ÖSTERGÖTLANDS LÄN</t>
        </is>
      </c>
      <c r="G79" t="inlineStr">
        <is>
          <t>MJÖLBY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38199-2025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45882</v>
      </c>
      <c r="E80" s="1" t="n">
        <v>46279</v>
      </c>
      <c r="F80" t="inlineStr">
        <is>
          <t>ÖSTERGÖTLANDS LÄN</t>
        </is>
      </c>
      <c r="G80" t="inlineStr">
        <is>
          <t>MJÖLBY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35447-2023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46279</v>
      </c>
      <c r="F81" t="inlineStr">
        <is>
          <t>ÖSTERGÖTLANDS LÄN</t>
        </is>
      </c>
      <c r="G81" t="inlineStr">
        <is>
          <t>MJÖLBY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51630-2021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44462</v>
      </c>
      <c r="E82" s="1" t="n">
        <v>46279</v>
      </c>
      <c r="F82" t="inlineStr">
        <is>
          <t>ÖSTERGÖTLANDS LÄN</t>
        </is>
      </c>
      <c r="G82" t="inlineStr">
        <is>
          <t>MJÖLBY</t>
        </is>
      </c>
      <c r="I82" t="n">
        <v>4.9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11064-2026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46079</v>
      </c>
      <c r="E83" s="1" t="n">
        <v>46279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63449-2023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45273</v>
      </c>
      <c r="E84" s="1" t="n">
        <v>46279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45681</v>
      </c>
      <c r="E85" s="1" t="n">
        <v>46279</v>
      </c>
      <c r="F85" t="inlineStr">
        <is>
          <t>ÖSTERGÖTLANDS LÄN</t>
        </is>
      </c>
      <c r="G85" t="inlineStr">
        <is>
          <t>MJÖLBY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36401-2023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45152</v>
      </c>
      <c r="E86" s="1" t="n">
        <v>46279</v>
      </c>
      <c r="F86" t="inlineStr">
        <is>
          <t>ÖSTERGÖTLANDS LÄN</t>
        </is>
      </c>
      <c r="G86" t="inlineStr">
        <is>
          <t>MJÖLBY</t>
        </is>
      </c>
      <c r="H86" t="inlineStr">
        <is>
          <t>Allmännings- och besparingsskogar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51335-2025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45950</v>
      </c>
      <c r="E87" s="1" t="n">
        <v>46279</v>
      </c>
      <c r="F87" t="inlineStr">
        <is>
          <t>ÖSTERGÖTLANDS LÄN</t>
        </is>
      </c>
      <c r="G87" t="inlineStr">
        <is>
          <t>MJÖLBY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51326-2025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45950</v>
      </c>
      <c r="E88" s="1" t="n">
        <v>46279</v>
      </c>
      <c r="F88" t="inlineStr">
        <is>
          <t>ÖSTERGÖTLANDS LÄN</t>
        </is>
      </c>
      <c r="G88" t="inlineStr">
        <is>
          <t>MJÖLBY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14928-2026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46104</v>
      </c>
      <c r="E89" s="1" t="n">
        <v>46279</v>
      </c>
      <c r="F89" t="inlineStr">
        <is>
          <t>ÖSTERGÖTLANDS LÄN</t>
        </is>
      </c>
      <c r="G89" t="inlineStr">
        <is>
          <t>MJÖLBY</t>
        </is>
      </c>
      <c r="H89" t="inlineStr">
        <is>
          <t>Övriga Aktiebolag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7337-2023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44971</v>
      </c>
      <c r="E90" s="1" t="n">
        <v>46279</v>
      </c>
      <c r="F90" t="inlineStr">
        <is>
          <t>ÖSTERGÖTLANDS LÄN</t>
        </is>
      </c>
      <c r="G90" t="inlineStr">
        <is>
          <t>MJÖLBY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15032-2026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46104</v>
      </c>
      <c r="E91" s="1" t="n">
        <v>46279</v>
      </c>
      <c r="F91" t="inlineStr">
        <is>
          <t>ÖSTERGÖTLANDS LÄN</t>
        </is>
      </c>
      <c r="G91" t="inlineStr">
        <is>
          <t>MJÖLBY</t>
        </is>
      </c>
      <c r="H91" t="inlineStr">
        <is>
          <t>Övriga Aktiebolag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44770-2025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45917</v>
      </c>
      <c r="E92" s="1" t="n">
        <v>46279</v>
      </c>
      <c r="F92" t="inlineStr">
        <is>
          <t>ÖSTERGÖTLANDS LÄN</t>
        </is>
      </c>
      <c r="G92" t="inlineStr">
        <is>
          <t>MJÖLBY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44769-2025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45917</v>
      </c>
      <c r="E93" s="1" t="n">
        <v>46279</v>
      </c>
      <c r="F93" t="inlineStr">
        <is>
          <t>ÖSTERGÖTLANDS LÄN</t>
        </is>
      </c>
      <c r="G93" t="inlineStr">
        <is>
          <t>MJÖLBY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16110-2026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46108</v>
      </c>
      <c r="E94" s="1" t="n">
        <v>46279</v>
      </c>
      <c r="F94" t="inlineStr">
        <is>
          <t>ÖSTERGÖTLANDS LÄN</t>
        </is>
      </c>
      <c r="G94" t="inlineStr">
        <is>
          <t>MJÖLBY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16173-2026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46111</v>
      </c>
      <c r="E95" s="1" t="n">
        <v>46279</v>
      </c>
      <c r="F95" t="inlineStr">
        <is>
          <t>ÖSTERGÖTLANDS LÄN</t>
        </is>
      </c>
      <c r="G95" t="inlineStr">
        <is>
          <t>MJÖLBY</t>
        </is>
      </c>
      <c r="H95" t="inlineStr">
        <is>
          <t>Övriga Aktiebolag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55939-2025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45973</v>
      </c>
      <c r="E96" s="1" t="n">
        <v>46279</v>
      </c>
      <c r="F96" t="inlineStr">
        <is>
          <t>ÖSTERGÖTLANDS LÄN</t>
        </is>
      </c>
      <c r="G96" t="inlineStr">
        <is>
          <t>MJÖLBY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60977-2023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45261</v>
      </c>
      <c r="E97" s="1" t="n">
        <v>46279</v>
      </c>
      <c r="F97" t="inlineStr">
        <is>
          <t>ÖSTERGÖTLANDS LÄN</t>
        </is>
      </c>
      <c r="G97" t="inlineStr">
        <is>
          <t>MJÖLBY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17699-2026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46121</v>
      </c>
      <c r="E98" s="1" t="n">
        <v>46279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17700-2026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46121</v>
      </c>
      <c r="E99" s="1" t="n">
        <v>46279</v>
      </c>
      <c r="F99" t="inlineStr">
        <is>
          <t>ÖSTERGÖTLANDS LÄN</t>
        </is>
      </c>
      <c r="G99" t="inlineStr">
        <is>
          <t>MJÖLBY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46279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46279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57942-2025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46279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46279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46279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46279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58310-2025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46279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18517-2026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46127</v>
      </c>
      <c r="E107" s="1" t="n">
        <v>46279</v>
      </c>
      <c r="F107" t="inlineStr">
        <is>
          <t>ÖSTERGÖTLANDS LÄN</t>
        </is>
      </c>
      <c r="G107" t="inlineStr">
        <is>
          <t>MJÖLBY</t>
        </is>
      </c>
      <c r="H107" t="inlineStr">
        <is>
          <t>Övriga Aktiebolag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59105-2025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46279</v>
      </c>
      <c r="F108" t="inlineStr">
        <is>
          <t>ÖSTERGÖTLANDS LÄN</t>
        </is>
      </c>
      <c r="G108" t="inlineStr">
        <is>
          <t>MJÖLBY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60969-2023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45261</v>
      </c>
      <c r="E109" s="1" t="n">
        <v>46279</v>
      </c>
      <c r="F109" t="inlineStr">
        <is>
          <t>ÖSTERGÖTLANDS LÄN</t>
        </is>
      </c>
      <c r="G109" t="inlineStr">
        <is>
          <t>MJÖLBY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38299-2023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45161</v>
      </c>
      <c r="E110" s="1" t="n">
        <v>46279</v>
      </c>
      <c r="F110" t="inlineStr">
        <is>
          <t>ÖSTERGÖTLANDS LÄN</t>
        </is>
      </c>
      <c r="G110" t="inlineStr">
        <is>
          <t>MJÖLBY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45892</v>
      </c>
      <c r="E111" s="1" t="n">
        <v>46279</v>
      </c>
      <c r="F111" t="inlineStr">
        <is>
          <t>ÖSTERGÖTLANDS LÄN</t>
        </is>
      </c>
      <c r="G111" t="inlineStr">
        <is>
          <t>MJÖLBY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27255-2025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45812</v>
      </c>
      <c r="E112" s="1" t="n">
        <v>46279</v>
      </c>
      <c r="F112" t="inlineStr">
        <is>
          <t>ÖSTERGÖTLANDS LÄN</t>
        </is>
      </c>
      <c r="G112" t="inlineStr">
        <is>
          <t>MJÖLBY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27251-2025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45812</v>
      </c>
      <c r="E113" s="1" t="n">
        <v>46279</v>
      </c>
      <c r="F113" t="inlineStr">
        <is>
          <t>ÖSTERGÖTLANDS LÄN</t>
        </is>
      </c>
      <c r="G113" t="inlineStr">
        <is>
          <t>MJÖLBY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62129-2025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46279</v>
      </c>
      <c r="F114" t="inlineStr">
        <is>
          <t>ÖSTERGÖTLANDS LÄN</t>
        </is>
      </c>
      <c r="G114" t="inlineStr">
        <is>
          <t>MJÖLBY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62123-2025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46006</v>
      </c>
      <c r="E115" s="1" t="n">
        <v>46279</v>
      </c>
      <c r="F115" t="inlineStr">
        <is>
          <t>ÖSTERGÖTLANDS LÄN</t>
        </is>
      </c>
      <c r="G115" t="inlineStr">
        <is>
          <t>MJÖLBY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62391-2025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46007</v>
      </c>
      <c r="E116" s="1" t="n">
        <v>46279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Kyrkan</t>
        </is>
      </c>
      <c r="I116" t="n">
        <v>8.300000000000001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58800-2022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44903</v>
      </c>
      <c r="E117" s="1" t="n">
        <v>46279</v>
      </c>
      <c r="F117" t="inlineStr">
        <is>
          <t>ÖSTERGÖTLANDS LÄN</t>
        </is>
      </c>
      <c r="G117" t="inlineStr">
        <is>
          <t>MJÖLBY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6785-2024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45342</v>
      </c>
      <c r="E118" s="1" t="n">
        <v>46279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Kyrkan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11944-2024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45376</v>
      </c>
      <c r="E119" s="1" t="n">
        <v>46279</v>
      </c>
      <c r="F119" t="inlineStr">
        <is>
          <t>ÖSTERGÖTLANDS LÄN</t>
        </is>
      </c>
      <c r="G119" t="inlineStr">
        <is>
          <t>MJÖLBY</t>
        </is>
      </c>
      <c r="I119" t="n">
        <v>2.7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46279</v>
      </c>
      <c r="F120" t="inlineStr">
        <is>
          <t>ÖSTERGÖTLANDS LÄN</t>
        </is>
      </c>
      <c r="G120" t="inlineStr">
        <is>
          <t>MJÖLBY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29580-2025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45825</v>
      </c>
      <c r="E121" s="1" t="n">
        <v>46279</v>
      </c>
      <c r="F121" t="inlineStr">
        <is>
          <t>ÖSTERGÖTLANDS LÄN</t>
        </is>
      </c>
      <c r="G121" t="inlineStr">
        <is>
          <t>MJÖLBY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63445-2025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46013</v>
      </c>
      <c r="E122" s="1" t="n">
        <v>46279</v>
      </c>
      <c r="F122" t="inlineStr">
        <is>
          <t>ÖSTERGÖTLANDS LÄN</t>
        </is>
      </c>
      <c r="G122" t="inlineStr">
        <is>
          <t>MJÖLBY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59411-2022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44907</v>
      </c>
      <c r="E123" s="1" t="n">
        <v>46279</v>
      </c>
      <c r="F123" t="inlineStr">
        <is>
          <t>ÖSTERGÖTLANDS LÄN</t>
        </is>
      </c>
      <c r="G123" t="inlineStr">
        <is>
          <t>MJÖLBY</t>
        </is>
      </c>
      <c r="H123" t="inlineStr">
        <is>
          <t>Övriga Aktiebolag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58412-2023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45250</v>
      </c>
      <c r="E124" s="1" t="n">
        <v>46279</v>
      </c>
      <c r="F124" t="inlineStr">
        <is>
          <t>ÖSTERGÖTLANDS LÄN</t>
        </is>
      </c>
      <c r="G124" t="inlineStr">
        <is>
          <t>MJÖLBY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59410-2022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44907</v>
      </c>
      <c r="E125" s="1" t="n">
        <v>46279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45918-2024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46279</v>
      </c>
      <c r="F126" t="inlineStr">
        <is>
          <t>ÖSTERGÖTLANDS LÄN</t>
        </is>
      </c>
      <c r="G126" t="inlineStr">
        <is>
          <t>MJÖLBY</t>
        </is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31010-2022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44768</v>
      </c>
      <c r="E127" s="1" t="n">
        <v>46279</v>
      </c>
      <c r="F127" t="inlineStr">
        <is>
          <t>ÖSTERGÖTLANDS LÄN</t>
        </is>
      </c>
      <c r="G127" t="inlineStr">
        <is>
          <t>MJÖLBY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20357-2026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46139</v>
      </c>
      <c r="E128" s="1" t="n">
        <v>46279</v>
      </c>
      <c r="F128" t="inlineStr">
        <is>
          <t>ÖSTERGÖTLANDS LÄN</t>
        </is>
      </c>
      <c r="G128" t="inlineStr">
        <is>
          <t>MJÖLBY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62570-2023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45269</v>
      </c>
      <c r="E129" s="1" t="n">
        <v>46279</v>
      </c>
      <c r="F129" t="inlineStr">
        <is>
          <t>ÖSTERGÖTLANDS LÄN</t>
        </is>
      </c>
      <c r="G129" t="inlineStr">
        <is>
          <t>MJÖLBY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46048</v>
      </c>
      <c r="E130" s="1" t="n">
        <v>46279</v>
      </c>
      <c r="F130" t="inlineStr">
        <is>
          <t>ÖSTERGÖTLANDS LÄN</t>
        </is>
      </c>
      <c r="G130" t="inlineStr">
        <is>
          <t>MJÖLBY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46048</v>
      </c>
      <c r="E131" s="1" t="n">
        <v>46279</v>
      </c>
      <c r="F131" t="inlineStr">
        <is>
          <t>ÖSTERGÖTLANDS LÄN</t>
        </is>
      </c>
      <c r="G131" t="inlineStr">
        <is>
          <t>MJÖLBY</t>
        </is>
      </c>
      <c r="I131" t="n">
        <v>5.9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62447-2025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46007</v>
      </c>
      <c r="E132" s="1" t="n">
        <v>46279</v>
      </c>
      <c r="F132" t="inlineStr">
        <is>
          <t>ÖSTERGÖTLANDS LÄN</t>
        </is>
      </c>
      <c r="G132" t="inlineStr">
        <is>
          <t>MJÖLBY</t>
        </is>
      </c>
      <c r="H132" t="inlineStr">
        <is>
          <t>Kommuner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28321-2025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45818</v>
      </c>
      <c r="E133" s="1" t="n">
        <v>46279</v>
      </c>
      <c r="F133" t="inlineStr">
        <is>
          <t>ÖSTERGÖTLANDS LÄN</t>
        </is>
      </c>
      <c r="G133" t="inlineStr">
        <is>
          <t>MJÖLBY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14210-2023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45009</v>
      </c>
      <c r="E134" s="1" t="n">
        <v>46279</v>
      </c>
      <c r="F134" t="inlineStr">
        <is>
          <t>ÖSTERGÖTLANDS LÄN</t>
        </is>
      </c>
      <c r="G134" t="inlineStr">
        <is>
          <t>MJÖLBY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35404-2023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46279</v>
      </c>
      <c r="F135" t="inlineStr">
        <is>
          <t>ÖSTERGÖTLANDS LÄN</t>
        </is>
      </c>
      <c r="G135" t="inlineStr">
        <is>
          <t>MJÖLBY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21518-2026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46148</v>
      </c>
      <c r="E136" s="1" t="n">
        <v>46279</v>
      </c>
      <c r="F136" t="inlineStr">
        <is>
          <t>ÖSTERGÖTLANDS LÄN</t>
        </is>
      </c>
      <c r="G136" t="inlineStr">
        <is>
          <t>MJÖLBY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68095-2021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44526</v>
      </c>
      <c r="E137" s="1" t="n">
        <v>46279</v>
      </c>
      <c r="F137" t="inlineStr">
        <is>
          <t>ÖSTERGÖTLANDS LÄN</t>
        </is>
      </c>
      <c r="G137" t="inlineStr">
        <is>
          <t>MJÖLBY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49915-2024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45597</v>
      </c>
      <c r="E138" s="1" t="n">
        <v>46279</v>
      </c>
      <c r="F138" t="inlineStr">
        <is>
          <t>ÖSTERGÖTLANDS LÄN</t>
        </is>
      </c>
      <c r="G138" t="inlineStr">
        <is>
          <t>MJÖLBY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46279</v>
      </c>
      <c r="F139" t="inlineStr">
        <is>
          <t>ÖSTERGÖTLANDS LÄN</t>
        </is>
      </c>
      <c r="G139" t="inlineStr">
        <is>
          <t>MJÖLBY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37631-2023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46279</v>
      </c>
      <c r="F140" t="inlineStr">
        <is>
          <t>ÖSTERGÖTLANDS LÄN</t>
        </is>
      </c>
      <c r="G140" t="inlineStr">
        <is>
          <t>MJÖLBY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46036</v>
      </c>
      <c r="E141" s="1" t="n">
        <v>46279</v>
      </c>
      <c r="F141" t="inlineStr">
        <is>
          <t>ÖSTERGÖTLANDS LÄN</t>
        </is>
      </c>
      <c r="G141" t="inlineStr">
        <is>
          <t>MJÖLBY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11270-2022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46279</v>
      </c>
      <c r="F142" t="inlineStr">
        <is>
          <t>ÖSTERGÖTLANDS LÄN</t>
        </is>
      </c>
      <c r="G142" t="inlineStr">
        <is>
          <t>MJÖLBY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41337-2023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45174</v>
      </c>
      <c r="E143" s="1" t="n">
        <v>46279</v>
      </c>
      <c r="F143" t="inlineStr">
        <is>
          <t>ÖSTERGÖTLANDS LÄN</t>
        </is>
      </c>
      <c r="G143" t="inlineStr">
        <is>
          <t>MJÖLBY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45677</v>
      </c>
      <c r="E144" s="1" t="n">
        <v>46279</v>
      </c>
      <c r="F144" t="inlineStr">
        <is>
          <t>ÖSTERGÖTLANDS LÄN</t>
        </is>
      </c>
      <c r="G144" t="inlineStr">
        <is>
          <t>MJÖLBY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8658-2022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46279</v>
      </c>
      <c r="F145" t="inlineStr">
        <is>
          <t>ÖSTERGÖTLANDS LÄN</t>
        </is>
      </c>
      <c r="G145" t="inlineStr">
        <is>
          <t>MJÖLBY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45674</v>
      </c>
      <c r="E146" s="1" t="n">
        <v>46279</v>
      </c>
      <c r="F146" t="inlineStr">
        <is>
          <t>ÖSTERGÖTLANDS LÄN</t>
        </is>
      </c>
      <c r="G146" t="inlineStr">
        <is>
          <t>MJÖLBY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2231-2025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45673</v>
      </c>
      <c r="E147" s="1" t="n">
        <v>46279</v>
      </c>
      <c r="F147" t="inlineStr">
        <is>
          <t>ÖSTERGÖTLANDS LÄN</t>
        </is>
      </c>
      <c r="G147" t="inlineStr">
        <is>
          <t>MJÖLBY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24139-2026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46168</v>
      </c>
      <c r="E148" s="1" t="n">
        <v>46279</v>
      </c>
      <c r="F148" t="inlineStr">
        <is>
          <t>ÖSTERGÖTLANDS LÄN</t>
        </is>
      </c>
      <c r="G148" t="inlineStr">
        <is>
          <t>MJÖLBY</t>
        </is>
      </c>
      <c r="H148" t="inlineStr">
        <is>
          <t>Övriga Aktiebolag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1011-2025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46279</v>
      </c>
      <c r="F149" t="inlineStr">
        <is>
          <t>ÖSTERGÖTLANDS LÄN</t>
        </is>
      </c>
      <c r="G149" t="inlineStr">
        <is>
          <t>MJÖLBY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24786-2026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46171</v>
      </c>
      <c r="E150" s="1" t="n">
        <v>46279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3.7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24457-2026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46170</v>
      </c>
      <c r="E151" s="1" t="n">
        <v>46279</v>
      </c>
      <c r="F151" t="inlineStr">
        <is>
          <t>ÖSTERGÖTLANDS LÄN</t>
        </is>
      </c>
      <c r="G151" t="inlineStr">
        <is>
          <t>MJÖLBY</t>
        </is>
      </c>
      <c r="H151" t="inlineStr">
        <is>
          <t>Övriga Aktiebolag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24903-2026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46174</v>
      </c>
      <c r="E152" s="1" t="n">
        <v>46279</v>
      </c>
      <c r="F152" t="inlineStr">
        <is>
          <t>ÖSTERGÖTLANDS LÄN</t>
        </is>
      </c>
      <c r="G152" t="inlineStr">
        <is>
          <t>MJÖLBY</t>
        </is>
      </c>
      <c r="H152" t="inlineStr">
        <is>
          <t>Övriga Aktiebolag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46174</v>
      </c>
      <c r="E153" s="1" t="n">
        <v>46279</v>
      </c>
      <c r="F153" t="inlineStr">
        <is>
          <t>ÖSTERGÖTLANDS LÄN</t>
        </is>
      </c>
      <c r="G153" t="inlineStr">
        <is>
          <t>MJÖLBY</t>
        </is>
      </c>
      <c r="H153" t="inlineStr">
        <is>
          <t>Övriga Aktiebolag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25031-2026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46174</v>
      </c>
      <c r="E154" s="1" t="n">
        <v>46279</v>
      </c>
      <c r="F154" t="inlineStr">
        <is>
          <t>ÖSTERGÖTLANDS LÄN</t>
        </is>
      </c>
      <c r="G154" t="inlineStr">
        <is>
          <t>MJÖLBY</t>
        </is>
      </c>
      <c r="H154" t="inlineStr">
        <is>
          <t>Övriga Aktiebolag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24888-2026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46174</v>
      </c>
      <c r="E155" s="1" t="n">
        <v>46279</v>
      </c>
      <c r="F155" t="inlineStr">
        <is>
          <t>ÖSTERGÖTLANDS LÄN</t>
        </is>
      </c>
      <c r="G155" t="inlineStr">
        <is>
          <t>MJÖLBY</t>
        </is>
      </c>
      <c r="H155" t="inlineStr">
        <is>
          <t>Övriga Aktiebolag</t>
        </is>
      </c>
      <c r="I155" t="n">
        <v>4.6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24896-2026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46174</v>
      </c>
      <c r="E156" s="1" t="n">
        <v>46279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Övriga Aktiebolag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24900-2026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46174</v>
      </c>
      <c r="E157" s="1" t="n">
        <v>46279</v>
      </c>
      <c r="F157" t="inlineStr">
        <is>
          <t>ÖSTERGÖTLANDS LÄN</t>
        </is>
      </c>
      <c r="G157" t="inlineStr">
        <is>
          <t>MJÖLBY</t>
        </is>
      </c>
      <c r="H157" t="inlineStr">
        <is>
          <t>Övriga Aktiebolag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25503-2026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46177</v>
      </c>
      <c r="E158" s="1" t="n">
        <v>46279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Övriga Aktiebolag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11478-2024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45372</v>
      </c>
      <c r="E159" s="1" t="n">
        <v>46279</v>
      </c>
      <c r="F159" t="inlineStr">
        <is>
          <t>ÖSTERGÖTLANDS LÄN</t>
        </is>
      </c>
      <c r="G159" t="inlineStr">
        <is>
          <t>MJÖLBY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27126-2026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46188</v>
      </c>
      <c r="E160" s="1" t="n">
        <v>46279</v>
      </c>
      <c r="F160" t="inlineStr">
        <is>
          <t>ÖSTERGÖTLANDS LÄN</t>
        </is>
      </c>
      <c r="G160" t="inlineStr">
        <is>
          <t>MJÖLBY</t>
        </is>
      </c>
      <c r="H160" t="inlineStr">
        <is>
          <t>Övriga Aktiebolag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27137-2026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46188</v>
      </c>
      <c r="E161" s="1" t="n">
        <v>46279</v>
      </c>
      <c r="F161" t="inlineStr">
        <is>
          <t>ÖSTERGÖTLANDS LÄN</t>
        </is>
      </c>
      <c r="G161" t="inlineStr">
        <is>
          <t>MJÖLBY</t>
        </is>
      </c>
      <c r="H161" t="inlineStr">
        <is>
          <t>Övriga Aktiebolag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50181-2023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46279</v>
      </c>
      <c r="F162" t="inlineStr">
        <is>
          <t>ÖSTERGÖTLANDS LÄN</t>
        </is>
      </c>
      <c r="G162" t="inlineStr">
        <is>
          <t>MJÖLBY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53520-2022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44879</v>
      </c>
      <c r="E163" s="1" t="n">
        <v>46279</v>
      </c>
      <c r="F163" t="inlineStr">
        <is>
          <t>ÖSTERGÖTLANDS LÄN</t>
        </is>
      </c>
      <c r="G163" t="inlineStr">
        <is>
          <t>MJÖLBY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46237</v>
      </c>
      <c r="E164" s="1" t="n">
        <v>46279</v>
      </c>
      <c r="F164" t="inlineStr">
        <is>
          <t>ÖSTERGÖTLANDS LÄN</t>
        </is>
      </c>
      <c r="G164" t="inlineStr">
        <is>
          <t>MJÖLBY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52655-2023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45225</v>
      </c>
      <c r="E165" s="1" t="n">
        <v>46279</v>
      </c>
      <c r="F165" t="inlineStr">
        <is>
          <t>ÖSTERGÖTLANDS LÄN</t>
        </is>
      </c>
      <c r="G165" t="inlineStr">
        <is>
          <t>MJÖLBY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32564-2026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46239</v>
      </c>
      <c r="E166" s="1" t="n">
        <v>46279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22307-2024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45446</v>
      </c>
      <c r="E167" s="1" t="n">
        <v>46279</v>
      </c>
      <c r="F167" t="inlineStr">
        <is>
          <t>ÖSTERGÖTLANDS LÄN</t>
        </is>
      </c>
      <c r="G167" t="inlineStr">
        <is>
          <t>MJÖLBY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32558-2026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46239</v>
      </c>
      <c r="E168" s="1" t="n">
        <v>46279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3877-2023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44951</v>
      </c>
      <c r="E169" s="1" t="n">
        <v>46279</v>
      </c>
      <c r="F169" t="inlineStr">
        <is>
          <t>ÖSTERGÖTLANDS LÄN</t>
        </is>
      </c>
      <c r="G169" t="inlineStr">
        <is>
          <t>MJÖLBY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28525-2026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46279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Övriga Aktiebolag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61012-2023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45259</v>
      </c>
      <c r="E171" s="1" t="n">
        <v>46279</v>
      </c>
      <c r="F171" t="inlineStr">
        <is>
          <t>ÖSTERGÖTLANDS LÄN</t>
        </is>
      </c>
      <c r="G171" t="inlineStr">
        <is>
          <t>MJÖLBY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15783-2022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44663</v>
      </c>
      <c r="E172" s="1" t="n">
        <v>46279</v>
      </c>
      <c r="F172" t="inlineStr">
        <is>
          <t>ÖSTERGÖTLANDS LÄN</t>
        </is>
      </c>
      <c r="G172" t="inlineStr">
        <is>
          <t>MJÖLBY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34521-2024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45525</v>
      </c>
      <c r="E173" s="1" t="n">
        <v>46279</v>
      </c>
      <c r="F173" t="inlineStr">
        <is>
          <t>ÖSTERGÖTLANDS LÄN</t>
        </is>
      </c>
      <c r="G173" t="inlineStr">
        <is>
          <t>MJÖLBY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32574-2026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46239</v>
      </c>
      <c r="E174" s="1" t="n">
        <v>46279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1013-2025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45666</v>
      </c>
      <c r="E175" s="1" t="n">
        <v>46279</v>
      </c>
      <c r="F175" t="inlineStr">
        <is>
          <t>ÖSTERGÖTLANDS LÄN</t>
        </is>
      </c>
      <c r="G175" t="inlineStr">
        <is>
          <t>MJÖLBY</t>
        </is>
      </c>
      <c r="I175" t="n">
        <v>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33010-2026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46244</v>
      </c>
      <c r="E176" s="1" t="n">
        <v>46279</v>
      </c>
      <c r="F176" t="inlineStr">
        <is>
          <t>ÖSTERGÖTLANDS LÄN</t>
        </is>
      </c>
      <c r="G176" t="inlineStr">
        <is>
          <t>MJÖLBY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28652-2026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46279</v>
      </c>
      <c r="F177" t="inlineStr">
        <is>
          <t>ÖSTERGÖTLANDS LÄN</t>
        </is>
      </c>
      <c r="G177" t="inlineStr">
        <is>
          <t>MJÖLBY</t>
        </is>
      </c>
      <c r="H177" t="inlineStr">
        <is>
          <t>Övriga Aktiebolag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2715-2022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44580</v>
      </c>
      <c r="E178" s="1" t="n">
        <v>46279</v>
      </c>
      <c r="F178" t="inlineStr">
        <is>
          <t>ÖSTERGÖTLANDS LÄN</t>
        </is>
      </c>
      <c r="G178" t="inlineStr">
        <is>
          <t>MJÖLBY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44753-2025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45917</v>
      </c>
      <c r="E179" s="1" t="n">
        <v>46279</v>
      </c>
      <c r="F179" t="inlineStr">
        <is>
          <t>ÖSTERGÖTLANDS LÄN</t>
        </is>
      </c>
      <c r="G179" t="inlineStr">
        <is>
          <t>MJÖLBY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4314-2024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45324</v>
      </c>
      <c r="E180" s="1" t="n">
        <v>46279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Kyrkan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34172-2026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46253</v>
      </c>
      <c r="E181" s="1" t="n">
        <v>46279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34730-2026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46258</v>
      </c>
      <c r="E182" s="1" t="n">
        <v>46279</v>
      </c>
      <c r="F182" t="inlineStr">
        <is>
          <t>ÖSTERGÖTLANDS LÄN</t>
        </is>
      </c>
      <c r="G182" t="inlineStr">
        <is>
          <t>MJÖLBY</t>
        </is>
      </c>
      <c r="H182" t="inlineStr">
        <is>
          <t>Övriga Aktiebolag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3681-2025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45681</v>
      </c>
      <c r="E183" s="1" t="n">
        <v>46279</v>
      </c>
      <c r="F183" t="inlineStr">
        <is>
          <t>ÖSTERGÖTLANDS LÄN</t>
        </is>
      </c>
      <c r="G183" t="inlineStr">
        <is>
          <t>MJÖLBY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34748-2026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46258</v>
      </c>
      <c r="E184" s="1" t="n">
        <v>46279</v>
      </c>
      <c r="F184" t="inlineStr">
        <is>
          <t>ÖSTERGÖTLANDS LÄN</t>
        </is>
      </c>
      <c r="G184" t="inlineStr">
        <is>
          <t>MJÖLBY</t>
        </is>
      </c>
      <c r="H184" t="inlineStr">
        <is>
          <t>Övriga Aktiebolag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34794-2026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46258</v>
      </c>
      <c r="E185" s="1" t="n">
        <v>46279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41819-2023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45176</v>
      </c>
      <c r="E186" s="1" t="n">
        <v>46279</v>
      </c>
      <c r="F186" t="inlineStr">
        <is>
          <t>ÖSTERGÖTLANDS LÄN</t>
        </is>
      </c>
      <c r="G186" t="inlineStr">
        <is>
          <t>MJÖLBY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50883-2024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45602</v>
      </c>
      <c r="E187" s="1" t="n">
        <v>46279</v>
      </c>
      <c r="F187" t="inlineStr">
        <is>
          <t>ÖSTERGÖTLANDS LÄN</t>
        </is>
      </c>
      <c r="G187" t="inlineStr">
        <is>
          <t>MJÖLBY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50896-2024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45602</v>
      </c>
      <c r="E188" s="1" t="n">
        <v>46279</v>
      </c>
      <c r="F188" t="inlineStr">
        <is>
          <t>ÖSTERGÖTLANDS LÄN</t>
        </is>
      </c>
      <c r="G188" t="inlineStr">
        <is>
          <t>MJÖLBY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31161-2026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46216</v>
      </c>
      <c r="E189" s="1" t="n">
        <v>46279</v>
      </c>
      <c r="F189" t="inlineStr">
        <is>
          <t>ÖSTERGÖTLANDS LÄN</t>
        </is>
      </c>
      <c r="G189" t="inlineStr">
        <is>
          <t>MJÖLBY</t>
        </is>
      </c>
      <c r="I189" t="n">
        <v>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10984-2024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45370</v>
      </c>
      <c r="E190" s="1" t="n">
        <v>46279</v>
      </c>
      <c r="F190" t="inlineStr">
        <is>
          <t>ÖSTERGÖTLANDS LÄN</t>
        </is>
      </c>
      <c r="G190" t="inlineStr">
        <is>
          <t>MJÖLBY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31192-2026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46217</v>
      </c>
      <c r="E191" s="1" t="n">
        <v>46279</v>
      </c>
      <c r="F191" t="inlineStr">
        <is>
          <t>ÖSTERGÖTLANDS LÄN</t>
        </is>
      </c>
      <c r="G191" t="inlineStr">
        <is>
          <t>MJÖLBY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46217</v>
      </c>
      <c r="E192" s="1" t="n">
        <v>46279</v>
      </c>
      <c r="F192" t="inlineStr">
        <is>
          <t>ÖSTERGÖTLANDS LÄN</t>
        </is>
      </c>
      <c r="G192" t="inlineStr">
        <is>
          <t>MJÖLBY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15467-2023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45020</v>
      </c>
      <c r="E193" s="1" t="n">
        <v>46279</v>
      </c>
      <c r="F193" t="inlineStr">
        <is>
          <t>ÖSTERGÖTLANDS LÄN</t>
        </is>
      </c>
      <c r="G193" t="inlineStr">
        <is>
          <t>MJÖLBY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60917-2022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44908</v>
      </c>
      <c r="E194" s="1" t="n">
        <v>46279</v>
      </c>
      <c r="F194" t="inlineStr">
        <is>
          <t>ÖSTERGÖTLANDS LÄN</t>
        </is>
      </c>
      <c r="G194" t="inlineStr">
        <is>
          <t>MJÖLBY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40667-2023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45170</v>
      </c>
      <c r="E195" s="1" t="n">
        <v>46279</v>
      </c>
      <c r="F195" t="inlineStr">
        <is>
          <t>ÖSTERGÖTLANDS LÄN</t>
        </is>
      </c>
      <c r="G195" t="inlineStr">
        <is>
          <t>MJÖLBY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42042-2023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45177</v>
      </c>
      <c r="E196" s="1" t="n">
        <v>46279</v>
      </c>
      <c r="F196" t="inlineStr">
        <is>
          <t>ÖSTERGÖTLANDS LÄN</t>
        </is>
      </c>
      <c r="G196" t="inlineStr">
        <is>
          <t>MJÖLBY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36209-2026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46267</v>
      </c>
      <c r="E197" s="1" t="n">
        <v>46279</v>
      </c>
      <c r="F197" t="inlineStr">
        <is>
          <t>ÖSTERGÖTLANDS LÄN</t>
        </is>
      </c>
      <c r="G197" t="inlineStr">
        <is>
          <t>MJÖLBY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45602</v>
      </c>
      <c r="E198" s="1" t="n">
        <v>46279</v>
      </c>
      <c r="F198" t="inlineStr">
        <is>
          <t>ÖSTERGÖTLANDS LÄN</t>
        </is>
      </c>
      <c r="G198" t="inlineStr">
        <is>
          <t>MJÖLBY</t>
        </is>
      </c>
      <c r="I198" t="n">
        <v>5.1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50901-2024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45602</v>
      </c>
      <c r="E199" s="1" t="n">
        <v>46279</v>
      </c>
      <c r="F199" t="inlineStr">
        <is>
          <t>ÖSTERGÖTLANDS LÄN</t>
        </is>
      </c>
      <c r="G199" t="inlineStr">
        <is>
          <t>MJÖLBY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36206-2026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46267</v>
      </c>
      <c r="E200" s="1" t="n">
        <v>46279</v>
      </c>
      <c r="F200" t="inlineStr">
        <is>
          <t>ÖSTERGÖTLANDS LÄN</t>
        </is>
      </c>
      <c r="G200" t="inlineStr">
        <is>
          <t>MJÖLBY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12769-2024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45384</v>
      </c>
      <c r="E201" s="1" t="n">
        <v>46279</v>
      </c>
      <c r="F201" t="inlineStr">
        <is>
          <t>ÖSTERGÖTLANDS LÄN</t>
        </is>
      </c>
      <c r="G201" t="inlineStr">
        <is>
          <t>MJÖLBY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50906-2024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45602</v>
      </c>
      <c r="E202" s="1" t="n">
        <v>46279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34167-2026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46253</v>
      </c>
      <c r="E203" s="1" t="n">
        <v>46279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9125-2023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44980</v>
      </c>
      <c r="E204" s="1" t="n">
        <v>46279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Kyrkan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34162-2026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46253</v>
      </c>
      <c r="E205" s="1" t="n">
        <v>46279</v>
      </c>
      <c r="F205" t="inlineStr">
        <is>
          <t>ÖSTERGÖTLANDS LÄN</t>
        </is>
      </c>
      <c r="G205" t="inlineStr">
        <is>
          <t>MJÖLBY</t>
        </is>
      </c>
      <c r="H205" t="inlineStr">
        <is>
          <t>Övriga Aktiebolag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16304-2024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45407</v>
      </c>
      <c r="E206" s="1" t="n">
        <v>46279</v>
      </c>
      <c r="F206" t="inlineStr">
        <is>
          <t>ÖSTERGÖTLANDS LÄN</t>
        </is>
      </c>
      <c r="G206" t="inlineStr">
        <is>
          <t>MJÖLBY</t>
        </is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37226-2026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46274</v>
      </c>
      <c r="E207" s="1" t="n">
        <v>46279</v>
      </c>
      <c r="F207" t="inlineStr">
        <is>
          <t>ÖSTERGÖTLANDS LÄN</t>
        </is>
      </c>
      <c r="G207" t="inlineStr">
        <is>
          <t>MJÖLBY</t>
        </is>
      </c>
      <c r="H207" t="inlineStr">
        <is>
          <t>Kyrkan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37174-2026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46279</v>
      </c>
      <c r="F208" t="inlineStr">
        <is>
          <t>ÖSTERGÖTLANDS LÄN</t>
        </is>
      </c>
      <c r="G208" t="inlineStr">
        <is>
          <t>MJÖLBY</t>
        </is>
      </c>
      <c r="H208" t="inlineStr">
        <is>
          <t>Kyrkan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34834-2026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46258</v>
      </c>
      <c r="E209" s="1" t="n">
        <v>46279</v>
      </c>
      <c r="F209" t="inlineStr">
        <is>
          <t>ÖSTERGÖTLANDS LÄN</t>
        </is>
      </c>
      <c r="G209" t="inlineStr">
        <is>
          <t>MJÖLBY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22328-2024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45446</v>
      </c>
      <c r="E210" s="1" t="n">
        <v>46279</v>
      </c>
      <c r="F210" t="inlineStr">
        <is>
          <t>ÖSTERGÖTLANDS LÄN</t>
        </is>
      </c>
      <c r="G210" t="inlineStr">
        <is>
          <t>MJÖLBY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31929-2026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46232</v>
      </c>
      <c r="E211" s="1" t="n">
        <v>46279</v>
      </c>
      <c r="F211" t="inlineStr">
        <is>
          <t>ÖSTERGÖTLANDS LÄN</t>
        </is>
      </c>
      <c r="G211" t="inlineStr">
        <is>
          <t>MJÖLBY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37367-2026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46275</v>
      </c>
      <c r="E212" s="1" t="n">
        <v>46279</v>
      </c>
      <c r="F212" t="inlineStr">
        <is>
          <t>ÖSTERGÖTLANDS LÄN</t>
        </is>
      </c>
      <c r="G212" t="inlineStr">
        <is>
          <t>MJÖLBY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28131-2026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46195</v>
      </c>
      <c r="E213" s="1" t="n">
        <v>46279</v>
      </c>
      <c r="F213" t="inlineStr">
        <is>
          <t>ÖSTERGÖTLANDS LÄN</t>
        </is>
      </c>
      <c r="G213" t="inlineStr">
        <is>
          <t>MJÖLBY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37364-2026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46275</v>
      </c>
      <c r="E214" s="1" t="n">
        <v>46279</v>
      </c>
      <c r="F214" t="inlineStr">
        <is>
          <t>ÖSTERGÖTLANDS LÄN</t>
        </is>
      </c>
      <c r="G214" t="inlineStr">
        <is>
          <t>MJÖLBY</t>
        </is>
      </c>
      <c r="I214" t="n">
        <v>8.5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46275</v>
      </c>
      <c r="E215" s="1" t="n">
        <v>46279</v>
      </c>
      <c r="F215" t="inlineStr">
        <is>
          <t>ÖSTERGÖTLANDS LÄN</t>
        </is>
      </c>
      <c r="G215" t="inlineStr">
        <is>
          <t>MJÖLBY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37355-2026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46275</v>
      </c>
      <c r="E216" s="1" t="n">
        <v>46279</v>
      </c>
      <c r="F216" t="inlineStr">
        <is>
          <t>ÖSTERGÖTLANDS LÄN</t>
        </is>
      </c>
      <c r="G216" t="inlineStr">
        <is>
          <t>MJÖLBY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79-2024</t>
        </is>
      </c>
      <c r="B217" t="inlineStr">
        <is>
          <t>avverkningsanmälan</t>
        </is>
      </c>
      <c r="C217" t="inlineStr">
        <is>
          <t>Avverkning för att bevara och utveckla /försöksver</t>
        </is>
      </c>
      <c r="D217" s="1" t="n">
        <v>45293</v>
      </c>
      <c r="E217" s="1" t="n">
        <v>46279</v>
      </c>
      <c r="F217" t="inlineStr">
        <is>
          <t>ÖSTERGÖTLANDS LÄN</t>
        </is>
      </c>
      <c r="G217" t="inlineStr">
        <is>
          <t>MJÖLBY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31928-2026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46232</v>
      </c>
      <c r="E218" s="1" t="n">
        <v>46279</v>
      </c>
      <c r="F218" t="inlineStr">
        <is>
          <t>ÖSTERGÖTLANDS LÄN</t>
        </is>
      </c>
      <c r="G218" t="inlineStr">
        <is>
          <t>MJÖLBY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45301</v>
      </c>
      <c r="E219" s="1" t="n">
        <v>46279</v>
      </c>
      <c r="F219" t="inlineStr">
        <is>
          <t>ÖSTERGÖTLANDS LÄN</t>
        </is>
      </c>
      <c r="G219" t="inlineStr">
        <is>
          <t>MJÖLBY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31930-2026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46232</v>
      </c>
      <c r="E220" s="1" t="n">
        <v>46279</v>
      </c>
      <c r="F220" t="inlineStr">
        <is>
          <t>ÖSTERGÖTLANDS LÄN</t>
        </is>
      </c>
      <c r="G220" t="inlineStr">
        <is>
          <t>MJÖLBY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38300-2023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45161</v>
      </c>
      <c r="E221" s="1" t="n">
        <v>46279</v>
      </c>
      <c r="F221" t="inlineStr">
        <is>
          <t>ÖSTERGÖTLANDS LÄN</t>
        </is>
      </c>
      <c r="G221" t="inlineStr">
        <is>
          <t>MJÖLBY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46248-2024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46279</v>
      </c>
      <c r="F222" t="inlineStr">
        <is>
          <t>ÖSTERGÖTLANDS LÄN</t>
        </is>
      </c>
      <c r="G222" t="inlineStr">
        <is>
          <t>MJÖLBY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61575-2023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45261</v>
      </c>
      <c r="E223" s="1" t="n">
        <v>46279</v>
      </c>
      <c r="F223" t="inlineStr">
        <is>
          <t>ÖSTERGÖTLANDS LÄN</t>
        </is>
      </c>
      <c r="G223" t="inlineStr">
        <is>
          <t>MJÖLBY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49971-2023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45215</v>
      </c>
      <c r="E224" s="1" t="n">
        <v>46279</v>
      </c>
      <c r="F224" t="inlineStr">
        <is>
          <t>ÖSTERGÖTLANDS LÄN</t>
        </is>
      </c>
      <c r="G224" t="inlineStr">
        <is>
          <t>MJÖLBY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38278-2024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45545</v>
      </c>
      <c r="E225" s="1" t="n">
        <v>46279</v>
      </c>
      <c r="F225" t="inlineStr">
        <is>
          <t>ÖSTERGÖTLANDS LÄN</t>
        </is>
      </c>
      <c r="G225" t="inlineStr">
        <is>
          <t>MJÖLBY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12675-2024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46279</v>
      </c>
      <c r="F226" t="inlineStr">
        <is>
          <t>ÖSTERGÖTLANDS LÄN</t>
        </is>
      </c>
      <c r="G226" t="inlineStr">
        <is>
          <t>MJÖLBY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37083-2024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45539</v>
      </c>
      <c r="E227" s="1" t="n">
        <v>46279</v>
      </c>
      <c r="F227" t="inlineStr">
        <is>
          <t>ÖSTERGÖTLANDS LÄN</t>
        </is>
      </c>
      <c r="G227" t="inlineStr">
        <is>
          <t>MJÖLBY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13560-2025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45736</v>
      </c>
      <c r="E228" s="1" t="n">
        <v>46279</v>
      </c>
      <c r="F228" t="inlineStr">
        <is>
          <t>ÖSTERGÖTLANDS LÄN</t>
        </is>
      </c>
      <c r="G228" t="inlineStr">
        <is>
          <t>MJÖLBY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34664-2024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45526</v>
      </c>
      <c r="E229" s="1" t="n">
        <v>46279</v>
      </c>
      <c r="F229" t="inlineStr">
        <is>
          <t>ÖSTERGÖTLANDS LÄN</t>
        </is>
      </c>
      <c r="G229" t="inlineStr">
        <is>
          <t>MJÖLBY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23114-2025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45791</v>
      </c>
      <c r="E230" s="1" t="n">
        <v>46279</v>
      </c>
      <c r="F230" t="inlineStr">
        <is>
          <t>ÖSTERGÖTLANDS LÄN</t>
        </is>
      </c>
      <c r="G230" t="inlineStr">
        <is>
          <t>MJÖLBY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2749-2024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45314</v>
      </c>
      <c r="E231" s="1" t="n">
        <v>46279</v>
      </c>
      <c r="F231" t="inlineStr">
        <is>
          <t>ÖSTERGÖTLANDS LÄN</t>
        </is>
      </c>
      <c r="G231" t="inlineStr">
        <is>
          <t>MJÖLBY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57284-2024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45629</v>
      </c>
      <c r="E232" s="1" t="n">
        <v>46279</v>
      </c>
      <c r="F232" t="inlineStr">
        <is>
          <t>ÖSTERGÖTLANDS LÄN</t>
        </is>
      </c>
      <c r="G232" t="inlineStr">
        <is>
          <t>MJÖLBY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24499-2025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45798</v>
      </c>
      <c r="E233" s="1" t="n">
        <v>46279</v>
      </c>
      <c r="F233" t="inlineStr">
        <is>
          <t>ÖSTERGÖTLANDS LÄN</t>
        </is>
      </c>
      <c r="G233" t="inlineStr">
        <is>
          <t>MJÖLBY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18740-2025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45763</v>
      </c>
      <c r="E234" s="1" t="n">
        <v>46279</v>
      </c>
      <c r="F234" t="inlineStr">
        <is>
          <t>ÖSTERGÖTLANDS LÄN</t>
        </is>
      </c>
      <c r="G234" t="inlineStr">
        <is>
          <t>MJÖLBY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27232-2025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45812</v>
      </c>
      <c r="E235" s="1" t="n">
        <v>46279</v>
      </c>
      <c r="F235" t="inlineStr">
        <is>
          <t>ÖSTERGÖTLANDS LÄN</t>
        </is>
      </c>
      <c r="G235" t="inlineStr">
        <is>
          <t>MJÖLBY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1827-2026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46197</v>
      </c>
      <c r="E236" s="1" t="n">
        <v>46279</v>
      </c>
      <c r="F236" t="inlineStr">
        <is>
          <t>ÖSTERGÖTLANDS LÄN</t>
        </is>
      </c>
      <c r="G236" t="inlineStr">
        <is>
          <t>MJÖLBY</t>
        </is>
      </c>
      <c r="H236" t="inlineStr">
        <is>
          <t>Övriga Aktiebolag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2026-09-14T02:15:28Z</dcterms:created>
  <dcterms:modified xmlns:dcterms="http://purl.org/dc/terms/" xmlns:xsi="http://www.w3.org/2001/XMLSchema-instance" xsi:type="dcterms:W3CDTF">2026-09-14T02:15:28Z</dcterms:modified>
</cp:coreProperties>
</file>