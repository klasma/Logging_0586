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46323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46323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46323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33532-2024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45519</v>
      </c>
      <c r="E5" s="1" t="n">
        <v>46323</v>
      </c>
      <c r="F5" t="inlineStr">
        <is>
          <t>ÖSTERGÖTLANDS LÄN</t>
        </is>
      </c>
      <c r="G5" t="inlineStr">
        <is>
          <t>MJÖLBY</t>
        </is>
      </c>
      <c r="I5" t="n">
        <v>1.5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Backsippa</t>
        </is>
      </c>
      <c r="W5">
        <f>HYPERLINK("https://klasma.github.io/Logging_0586/artfynd/A 33532-2024 artfynd.xlsx", "A 33532-2024")</f>
        <v/>
      </c>
      <c r="X5">
        <f>HYPERLINK("https://klasma.github.io/Logging_0586/kartor/A 33532-2024 karta.png", "A 33532-2024")</f>
        <v/>
      </c>
      <c r="Y5">
        <f>HYPERLINK("https://klasma.github.io/Logging_0586/kartor_geotiff/A 33532-2024 georefererad karta.tif", "A 33532-2024")</f>
        <v/>
      </c>
      <c r="AA5">
        <f>HYPERLINK("https://klasma.github.io/Logging_0586/klagomål/A 33532-2024 FSC-klagomål.docx", "A 33532-2024")</f>
        <v/>
      </c>
      <c r="AB5">
        <f>HYPERLINK("https://klasma.github.io/Logging_0586/klagomålsmail/A 33532-2024 FSC-klagomål mail.docx", "A 33532-2024")</f>
        <v/>
      </c>
      <c r="AC5">
        <f>HYPERLINK("https://klasma.github.io/Logging_0586/tillsyn/A 33532-2024 tillsynsbegäran.docx", "A 33532-2024")</f>
        <v/>
      </c>
      <c r="AD5">
        <f>HYPERLINK("https://klasma.github.io/Logging_0586/tillsynsmail/A 33532-2024 tillsynsbegäran mail.docx", "A 33532-2024")</f>
        <v/>
      </c>
    </row>
    <row r="6" ht="15" customHeight="1">
      <c r="A6" t="inlineStr">
        <is>
          <t>A 60983-2023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45261</v>
      </c>
      <c r="E6" s="1" t="n">
        <v>46323</v>
      </c>
      <c r="F6" t="inlineStr">
        <is>
          <t>ÖSTERGÖTLANDS LÄN</t>
        </is>
      </c>
      <c r="G6" t="inlineStr">
        <is>
          <t>MJÖLBY</t>
        </is>
      </c>
      <c r="I6" t="n">
        <v>3.8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Grönvit nattviol</t>
        </is>
      </c>
      <c r="W6">
        <f>HYPERLINK("https://klasma.github.io/Logging_0586/artfynd/A 60983-2023 artfynd.xlsx", "A 60983-2023")</f>
        <v/>
      </c>
      <c r="X6">
        <f>HYPERLINK("https://klasma.github.io/Logging_0586/kartor/A 60983-2023 karta.png", "A 60983-2023")</f>
        <v/>
      </c>
      <c r="Y6">
        <f>HYPERLINK("https://klasma.github.io/Logging_0586/kartor_geotiff/A 60983-2023 georefererad karta.tif", "A 60983-2023")</f>
        <v/>
      </c>
      <c r="AA6">
        <f>HYPERLINK("https://klasma.github.io/Logging_0586/klagomål/A 60983-2023 FSC-klagomål.docx", "A 60983-2023")</f>
        <v/>
      </c>
      <c r="AB6">
        <f>HYPERLINK("https://klasma.github.io/Logging_0586/klagomålsmail/A 60983-2023 FSC-klagomål mail.docx", "A 60983-2023")</f>
        <v/>
      </c>
      <c r="AC6">
        <f>HYPERLINK("https://klasma.github.io/Logging_0586/tillsyn/A 60983-2023 tillsynsbegäran.docx", "A 60983-2023")</f>
        <v/>
      </c>
      <c r="AD6">
        <f>HYPERLINK("https://klasma.github.io/Logging_0586/tillsynsmail/A 60983-2023 tillsynsbegäran mail.docx", "A 60983-2023")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46323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46323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46323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50403-2022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46323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2.4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Springkorn</t>
        </is>
      </c>
      <c r="W10">
        <f>HYPERLINK("https://klasma.github.io/Logging_0586/artfynd/A 50403-2022 artfynd.xlsx", "A 50403-2022")</f>
        <v/>
      </c>
      <c r="X10">
        <f>HYPERLINK("https://klasma.github.io/Logging_0586/kartor/A 50403-2022 karta.png", "A 50403-2022")</f>
        <v/>
      </c>
      <c r="Y10">
        <f>HYPERLINK("https://klasma.github.io/Logging_0586/kartor_geotiff/A 50403-2022 georefererad karta.tif", "A 50403-2022")</f>
        <v/>
      </c>
      <c r="AA10">
        <f>HYPERLINK("https://klasma.github.io/Logging_0586/klagomål/A 50403-2022 FSC-klagomål.docx", "A 50403-2022")</f>
        <v/>
      </c>
      <c r="AB10">
        <f>HYPERLINK("https://klasma.github.io/Logging_0586/klagomålsmail/A 50403-2022 FSC-klagomål mail.docx", "A 50403-2022")</f>
        <v/>
      </c>
      <c r="AC10">
        <f>HYPERLINK("https://klasma.github.io/Logging_0586/tillsyn/A 50403-2022 tillsynsbegäran.docx", "A 50403-2022")</f>
        <v/>
      </c>
      <c r="AD10">
        <f>HYPERLINK("https://klasma.github.io/Logging_0586/tillsynsmail/A 50403-2022 tillsynsbegäran mail.docx", "A 50403-2022")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46323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46323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53521-2023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46323</v>
      </c>
      <c r="F13" t="inlineStr">
        <is>
          <t>ÖSTERGÖTLANDS LÄN</t>
        </is>
      </c>
      <c r="G13" t="inlineStr">
        <is>
          <t>MJÖLBY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Skogsduva</t>
        </is>
      </c>
      <c r="W13">
        <f>HYPERLINK("https://klasma.github.io/Logging_0586/artfynd/A 53521-2023 artfynd.xlsx", "A 53521-2023")</f>
        <v/>
      </c>
      <c r="X13">
        <f>HYPERLINK("https://klasma.github.io/Logging_0586/kartor/A 53521-2023 karta.png", "A 53521-2023")</f>
        <v/>
      </c>
      <c r="Y13">
        <f>HYPERLINK("https://klasma.github.io/Logging_0586/kartor_geotiff/A 53521-2023 georefererad karta.tif", "A 53521-2023")</f>
        <v/>
      </c>
      <c r="AA13">
        <f>HYPERLINK("https://klasma.github.io/Logging_0586/klagomål/A 53521-2023 FSC-klagomål.docx", "A 53521-2023")</f>
        <v/>
      </c>
      <c r="AB13">
        <f>HYPERLINK("https://klasma.github.io/Logging_0586/klagomålsmail/A 53521-2023 FSC-klagomål mail.docx", "A 53521-2023")</f>
        <v/>
      </c>
      <c r="AC13">
        <f>HYPERLINK("https://klasma.github.io/Logging_0586/tillsyn/A 53521-2023 tillsynsbegäran.docx", "A 53521-2023")</f>
        <v/>
      </c>
      <c r="AD13">
        <f>HYPERLINK("https://klasma.github.io/Logging_0586/tillsynsmail/A 53521-2023 tillsynsbegäran mail.docx", "A 53521-2023")</f>
        <v/>
      </c>
    </row>
    <row r="14" ht="15" customHeight="1">
      <c r="A14" t="inlineStr">
        <is>
          <t>A 2230-2025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46323</v>
      </c>
      <c r="F14" t="inlineStr">
        <is>
          <t>ÖSTERGÖTLANDS LÄN</t>
        </is>
      </c>
      <c r="G14" t="inlineStr">
        <is>
          <t>MJÖLBY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HYPERLINK("https://klasma.github.io/Logging_0586/artfynd/A 2230-2025 artfynd.xlsx", "A 2230-2025")</f>
        <v/>
      </c>
      <c r="X14">
        <f>HYPERLINK("https://klasma.github.io/Logging_0586/kartor/A 2230-2025 karta.png", "A 2230-2025")</f>
        <v/>
      </c>
      <c r="Y14">
        <f>HYPERLINK("https://klasma.github.io/Logging_0586/kartor_geotiff/A 2230-2025 georefererad karta.tif", "A 2230-2025")</f>
        <v/>
      </c>
      <c r="AA14">
        <f>HYPERLINK("https://klasma.github.io/Logging_0586/klagomål/A 2230-2025 FSC-klagomål.docx", "A 2230-2025")</f>
        <v/>
      </c>
      <c r="AB14">
        <f>HYPERLINK("https://klasma.github.io/Logging_0586/klagomålsmail/A 2230-2025 FSC-klagomål mail.docx", "A 2230-2025")</f>
        <v/>
      </c>
      <c r="AC14">
        <f>HYPERLINK("https://klasma.github.io/Logging_0586/tillsyn/A 2230-2025 tillsynsbegäran.docx", "A 2230-2025")</f>
        <v/>
      </c>
      <c r="AD14">
        <f>HYPERLINK("https://klasma.github.io/Logging_0586/tillsynsmail/A 2230-2025 tillsynsbegäran mail.docx", "A 2230-2025")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46323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46323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46323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46323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46323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46323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41635-2026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46301</v>
      </c>
      <c r="E21" s="1" t="n">
        <v>46323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HYPERLINK("https://klasma.github.io/Logging_0586/artfynd/A 41635-2026 artfynd.xlsx", "A 41635-2026")</f>
        <v/>
      </c>
      <c r="X21">
        <f>HYPERLINK("https://klasma.github.io/Logging_0586/kartor/A 41635-2026 karta.png", "A 41635-2026")</f>
        <v/>
      </c>
      <c r="Y21">
        <f>HYPERLINK("https://klasma.github.io/Logging_0586/kartor_geotiff/A 41635-2026 georefererad karta.tif", "A 41635-2026")</f>
        <v/>
      </c>
      <c r="AA21">
        <f>HYPERLINK("https://klasma.github.io/Logging_0586/klagomål/A 41635-2026 FSC-klagomål.docx", "A 41635-2026")</f>
        <v/>
      </c>
      <c r="AB21">
        <f>HYPERLINK("https://klasma.github.io/Logging_0586/klagomålsmail/A 41635-2026 FSC-klagomål mail.docx", "A 41635-2026")</f>
        <v/>
      </c>
      <c r="AC21">
        <f>HYPERLINK("https://klasma.github.io/Logging_0586/tillsyn/A 41635-2026 tillsynsbegäran.docx", "A 41635-2026")</f>
        <v/>
      </c>
      <c r="AD21">
        <f>HYPERLINK("https://klasma.github.io/Logging_0586/tillsynsmail/A 41635-2026 tillsynsbegäran mail.docx", "A 41635-2026")</f>
        <v/>
      </c>
    </row>
    <row r="22" ht="15" customHeight="1">
      <c r="A22" t="inlineStr">
        <is>
          <t>A 13567-2025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46323</v>
      </c>
      <c r="F22" t="inlineStr">
        <is>
          <t>ÖSTERGÖTLANDS LÄN</t>
        </is>
      </c>
      <c r="G22" t="inlineStr">
        <is>
          <t>MJÖLBY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Klubbsprötad bastardsvärmare</t>
        </is>
      </c>
      <c r="W22">
        <f>HYPERLINK("https://klasma.github.io/Logging_0586/artfynd/A 13567-2025 artfynd.xlsx", "A 13567-2025")</f>
        <v/>
      </c>
      <c r="X22">
        <f>HYPERLINK("https://klasma.github.io/Logging_0586/kartor/A 13567-2025 karta.png", "A 13567-2025")</f>
        <v/>
      </c>
      <c r="Y22">
        <f>HYPERLINK("https://klasma.github.io/Logging_0586/kartor_geotiff/A 13567-2025 georefererad karta.tif", "A 13567-2025")</f>
        <v/>
      </c>
      <c r="AA22">
        <f>HYPERLINK("https://klasma.github.io/Logging_0586/klagomål/A 13567-2025 FSC-klagomål.docx", "A 13567-2025")</f>
        <v/>
      </c>
      <c r="AB22">
        <f>HYPERLINK("https://klasma.github.io/Logging_0586/klagomålsmail/A 13567-2025 FSC-klagomål mail.docx", "A 13567-2025")</f>
        <v/>
      </c>
      <c r="AC22">
        <f>HYPERLINK("https://klasma.github.io/Logging_0586/tillsyn/A 13567-2025 tillsynsbegäran.docx", "A 13567-2025")</f>
        <v/>
      </c>
      <c r="AD22">
        <f>HYPERLINK("https://klasma.github.io/Logging_0586/tillsynsmail/A 13567-2025 tillsynsbegäran mail.docx", "A 13567-2025")</f>
        <v/>
      </c>
    </row>
    <row r="23" ht="15" customHeight="1">
      <c r="A23" t="inlineStr">
        <is>
          <t>A 22327-2024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46323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HYPERLINK("https://klasma.github.io/Logging_0586/artfynd/A 22327-2024 artfynd.xlsx", "A 22327-2024")</f>
        <v/>
      </c>
      <c r="X23">
        <f>HYPERLINK("https://klasma.github.io/Logging_0586/kartor/A 22327-2024 karta.png", "A 22327-2024")</f>
        <v/>
      </c>
      <c r="Y23">
        <f>HYPERLINK("https://klasma.github.io/Logging_0586/kartor_geotiff/A 22327-2024 georefererad karta.tif", "A 22327-2024")</f>
        <v/>
      </c>
      <c r="AA23">
        <f>HYPERLINK("https://klasma.github.io/Logging_0586/klagomål/A 22327-2024 FSC-klagomål.docx", "A 22327-2024")</f>
        <v/>
      </c>
      <c r="AB23">
        <f>HYPERLINK("https://klasma.github.io/Logging_0586/klagomålsmail/A 22327-2024 FSC-klagomål mail.docx", "A 22327-2024")</f>
        <v/>
      </c>
      <c r="AC23">
        <f>HYPERLINK("https://klasma.github.io/Logging_0586/tillsyn/A 22327-2024 tillsynsbegäran.docx", "A 22327-2024")</f>
        <v/>
      </c>
      <c r="AD23">
        <f>HYPERLINK("https://klasma.github.io/Logging_0586/tillsynsmail/A 22327-2024 tillsynsbegäran mail.docx", "A 22327-2024")</f>
        <v/>
      </c>
    </row>
    <row r="24" ht="15" customHeight="1">
      <c r="A24" t="inlineStr">
        <is>
          <t>A 43425-2026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46314</v>
      </c>
      <c r="E24" s="1" t="n">
        <v>46323</v>
      </c>
      <c r="F24" t="inlineStr">
        <is>
          <t>ÖSTERGÖTLANDS LÄN</t>
        </is>
      </c>
      <c r="G24" t="inlineStr">
        <is>
          <t>MJÖLBY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 nållav</t>
        </is>
      </c>
      <c r="W24">
        <f>HYPERLINK("https://klasma.github.io/Logging_0586/artfynd/A 43425-2026 artfynd.xlsx", "A 43425-2026")</f>
        <v/>
      </c>
      <c r="X24">
        <f>HYPERLINK("https://klasma.github.io/Logging_0586/kartor/A 43425-2026 karta.png", "A 43425-2026")</f>
        <v/>
      </c>
      <c r="Y24">
        <f>HYPERLINK("https://klasma.github.io/Logging_0586/kartor_geotiff/A 43425-2026 georefererad karta.tif", "A 43425-2026")</f>
        <v/>
      </c>
      <c r="AA24">
        <f>HYPERLINK("https://klasma.github.io/Logging_0586/klagomål/A 43425-2026 FSC-klagomål.docx", "A 43425-2026")</f>
        <v/>
      </c>
      <c r="AB24">
        <f>HYPERLINK("https://klasma.github.io/Logging_0586/klagomålsmail/A 43425-2026 FSC-klagomål mail.docx", "A 43425-2026")</f>
        <v/>
      </c>
      <c r="AC24">
        <f>HYPERLINK("https://klasma.github.io/Logging_0586/tillsyn/A 43425-2026 tillsynsbegäran.docx", "A 43425-2026")</f>
        <v/>
      </c>
      <c r="AD24">
        <f>HYPERLINK("https://klasma.github.io/Logging_0586/tillsynsmail/A 43425-2026 tillsynsbegäran mail.docx", "A 43425-2026")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46323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46323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46323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46323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50886-2024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46323</v>
      </c>
      <c r="F29" t="inlineStr">
        <is>
          <t>ÖSTERGÖTLANDS LÄN</t>
        </is>
      </c>
      <c r="G29" t="inlineStr">
        <is>
          <t>MJÖLBY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50901-2024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46323</v>
      </c>
      <c r="F30" t="inlineStr">
        <is>
          <t>ÖSTERGÖTLANDS LÄN</t>
        </is>
      </c>
      <c r="G30" t="inlineStr">
        <is>
          <t>MJÖLBY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46323</v>
      </c>
      <c r="F31" t="inlineStr">
        <is>
          <t>ÖSTERGÖTLANDS LÄN</t>
        </is>
      </c>
      <c r="G31" t="inlineStr">
        <is>
          <t>MJÖLBY</t>
        </is>
      </c>
      <c r="H31" t="inlineStr">
        <is>
          <t>Sveaskog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19352-2022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44692</v>
      </c>
      <c r="E32" s="1" t="n">
        <v>46323</v>
      </c>
      <c r="F32" t="inlineStr">
        <is>
          <t>ÖSTERGÖTLANDS LÄN</t>
        </is>
      </c>
      <c r="G32" t="inlineStr">
        <is>
          <t>MJÖLBY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45282</v>
      </c>
      <c r="E33" s="1" t="n">
        <v>46323</v>
      </c>
      <c r="F33" t="inlineStr">
        <is>
          <t>ÖSTERGÖTLANDS LÄN</t>
        </is>
      </c>
      <c r="G33" t="inlineStr">
        <is>
          <t>MJÖLBY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24866-2023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46323</v>
      </c>
      <c r="F34" t="inlineStr">
        <is>
          <t>ÖSTERGÖTLANDS LÄN</t>
        </is>
      </c>
      <c r="G34" t="inlineStr">
        <is>
          <t>MJÖLBY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46323</v>
      </c>
      <c r="F35" t="inlineStr">
        <is>
          <t>ÖSTERGÖTLANDS LÄN</t>
        </is>
      </c>
      <c r="G35" t="inlineStr">
        <is>
          <t>MJÖLBY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12769-2024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45384</v>
      </c>
      <c r="E36" s="1" t="n">
        <v>46323</v>
      </c>
      <c r="F36" t="inlineStr">
        <is>
          <t>ÖSTERGÖTLANDS LÄN</t>
        </is>
      </c>
      <c r="G36" t="inlineStr">
        <is>
          <t>MJÖLBY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46323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44946</v>
      </c>
      <c r="E38" s="1" t="n">
        <v>46323</v>
      </c>
      <c r="F38" t="inlineStr">
        <is>
          <t>ÖSTERGÖTLANDS LÄN</t>
        </is>
      </c>
      <c r="G38" t="inlineStr">
        <is>
          <t>MJÖLBY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46323</v>
      </c>
      <c r="F39" t="inlineStr">
        <is>
          <t>ÖSTERGÖTLANDS LÄN</t>
        </is>
      </c>
      <c r="G39" t="inlineStr">
        <is>
          <t>MJÖLBY</t>
        </is>
      </c>
      <c r="H39" t="inlineStr">
        <is>
          <t>Kyrkan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34431-2022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46323</v>
      </c>
      <c r="F40" t="inlineStr">
        <is>
          <t>ÖSTERGÖTLANDS LÄN</t>
        </is>
      </c>
      <c r="G40" t="inlineStr">
        <is>
          <t>MJÖLBY</t>
        </is>
      </c>
      <c r="H40" t="inlineStr">
        <is>
          <t>Kommuner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35447-2023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45146</v>
      </c>
      <c r="E41" s="1" t="n">
        <v>46323</v>
      </c>
      <c r="F41" t="inlineStr">
        <is>
          <t>ÖSTERGÖTLANDS LÄN</t>
        </is>
      </c>
      <c r="G41" t="inlineStr">
        <is>
          <t>MJÖLBY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45221</v>
      </c>
      <c r="E42" s="1" t="n">
        <v>46323</v>
      </c>
      <c r="F42" t="inlineStr">
        <is>
          <t>ÖSTERGÖTLANDS LÄN</t>
        </is>
      </c>
      <c r="G42" t="inlineStr">
        <is>
          <t>MJÖLBY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46323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45378</v>
      </c>
      <c r="E44" s="1" t="n">
        <v>46323</v>
      </c>
      <c r="F44" t="inlineStr">
        <is>
          <t>ÖSTERGÖTLANDS LÄN</t>
        </is>
      </c>
      <c r="G44" t="inlineStr">
        <is>
          <t>MJÖLBY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45407</v>
      </c>
      <c r="E45" s="1" t="n">
        <v>46323</v>
      </c>
      <c r="F45" t="inlineStr">
        <is>
          <t>ÖSTERGÖTLANDS LÄN</t>
        </is>
      </c>
      <c r="G45" t="inlineStr">
        <is>
          <t>MJÖLBY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46323</v>
      </c>
      <c r="F46" t="inlineStr">
        <is>
          <t>ÖSTERGÖTLANDS LÄN</t>
        </is>
      </c>
      <c r="G46" t="inlineStr">
        <is>
          <t>MJÖLBY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45273</v>
      </c>
      <c r="E47" s="1" t="n">
        <v>46323</v>
      </c>
      <c r="F47" t="inlineStr">
        <is>
          <t>ÖSTERGÖTLANDS LÄN</t>
        </is>
      </c>
      <c r="G47" t="inlineStr">
        <is>
          <t>MJÖLBY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17707-2023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45037</v>
      </c>
      <c r="E48" s="1" t="n">
        <v>46323</v>
      </c>
      <c r="F48" t="inlineStr">
        <is>
          <t>ÖSTERGÖTLANDS LÄN</t>
        </is>
      </c>
      <c r="G48" t="inlineStr">
        <is>
          <t>MJÖLBY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46323</v>
      </c>
      <c r="F49" t="inlineStr">
        <is>
          <t>ÖSTERGÖTLANDS LÄN</t>
        </is>
      </c>
      <c r="G49" t="inlineStr">
        <is>
          <t>MJÖLBY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45681</v>
      </c>
      <c r="E50" s="1" t="n">
        <v>46323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36401-2023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46323</v>
      </c>
      <c r="F51" t="inlineStr">
        <is>
          <t>ÖSTERGÖTLANDS LÄN</t>
        </is>
      </c>
      <c r="G51" t="inlineStr">
        <is>
          <t>MJÖLBY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44971</v>
      </c>
      <c r="E52" s="1" t="n">
        <v>46323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60977-2023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45261</v>
      </c>
      <c r="E53" s="1" t="n">
        <v>46323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46323</v>
      </c>
      <c r="F54" t="inlineStr">
        <is>
          <t>ÖSTERGÖTLANDS LÄN</t>
        </is>
      </c>
      <c r="G54" t="inlineStr">
        <is>
          <t>MJÖLBY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46323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46323</v>
      </c>
      <c r="F56" t="inlineStr">
        <is>
          <t>ÖSTERGÖTLANDS LÄN</t>
        </is>
      </c>
      <c r="G56" t="inlineStr">
        <is>
          <t>MJÖLBY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45261</v>
      </c>
      <c r="E57" s="1" t="n">
        <v>46323</v>
      </c>
      <c r="F57" t="inlineStr">
        <is>
          <t>ÖSTERGÖTLANDS LÄN</t>
        </is>
      </c>
      <c r="G57" t="inlineStr">
        <is>
          <t>MJÖLBY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45293</v>
      </c>
      <c r="E58" s="1" t="n">
        <v>46323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46323</v>
      </c>
      <c r="F59" t="inlineStr">
        <is>
          <t>ÖSTERGÖTLANDS LÄN</t>
        </is>
      </c>
      <c r="G59" t="inlineStr">
        <is>
          <t>MJÖLBY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46323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46323</v>
      </c>
      <c r="F61" t="inlineStr">
        <is>
          <t>ÖSTERGÖTLANDS LÄN</t>
        </is>
      </c>
      <c r="G61" t="inlineStr">
        <is>
          <t>MJÖLBY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46323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45301</v>
      </c>
      <c r="E63" s="1" t="n">
        <v>46323</v>
      </c>
      <c r="F63" t="inlineStr">
        <is>
          <t>ÖSTERGÖTLANDS LÄN</t>
        </is>
      </c>
      <c r="G63" t="inlineStr">
        <is>
          <t>MJÖLBY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46323</v>
      </c>
      <c r="F64" t="inlineStr">
        <is>
          <t>ÖSTERGÖTLANDS LÄN</t>
        </is>
      </c>
      <c r="G64" t="inlineStr">
        <is>
          <t>MJÖLBY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46323</v>
      </c>
      <c r="F65" t="inlineStr">
        <is>
          <t>ÖSTERGÖTLANDS LÄN</t>
        </is>
      </c>
      <c r="G65" t="inlineStr">
        <is>
          <t>MJÖLBY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46323</v>
      </c>
      <c r="F66" t="inlineStr">
        <is>
          <t>ÖSTERGÖTLANDS LÄN</t>
        </is>
      </c>
      <c r="G66" t="inlineStr">
        <is>
          <t>MJÖLBY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45581</v>
      </c>
      <c r="E67" s="1" t="n">
        <v>46323</v>
      </c>
      <c r="F67" t="inlineStr">
        <is>
          <t>ÖSTERGÖTLANDS LÄN</t>
        </is>
      </c>
      <c r="G67" t="inlineStr">
        <is>
          <t>MJÖLBY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66977-2021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46323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44903</v>
      </c>
      <c r="E69" s="1" t="n">
        <v>46323</v>
      </c>
      <c r="F69" t="inlineStr">
        <is>
          <t>ÖSTERGÖTLANDS LÄN</t>
        </is>
      </c>
      <c r="G69" t="inlineStr">
        <is>
          <t>MJÖLBY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46323</v>
      </c>
      <c r="F70" t="inlineStr">
        <is>
          <t>ÖSTERGÖTLANDS LÄN</t>
        </is>
      </c>
      <c r="G70" t="inlineStr">
        <is>
          <t>MJÖLBY</t>
        </is>
      </c>
      <c r="H70" t="inlineStr">
        <is>
          <t>Kyrkan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46323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59411-2022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44907</v>
      </c>
      <c r="E72" s="1" t="n">
        <v>46323</v>
      </c>
      <c r="F72" t="inlineStr">
        <is>
          <t>ÖSTERGÖTLANDS LÄN</t>
        </is>
      </c>
      <c r="G72" t="inlineStr">
        <is>
          <t>MJÖLBY</t>
        </is>
      </c>
      <c r="H72" t="inlineStr">
        <is>
          <t>Övriga Aktiebolag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46323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58412-2023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46323</v>
      </c>
      <c r="F74" t="inlineStr">
        <is>
          <t>ÖSTERGÖTLANDS LÄN</t>
        </is>
      </c>
      <c r="G74" t="inlineStr">
        <is>
          <t>MJÖLBY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59410-2022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44907</v>
      </c>
      <c r="E75" s="1" t="n">
        <v>46323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46323</v>
      </c>
      <c r="F76" t="inlineStr">
        <is>
          <t>ÖSTERGÖTLANDS LÄN</t>
        </is>
      </c>
      <c r="G76" t="inlineStr">
        <is>
          <t>MJÖLBY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46323</v>
      </c>
      <c r="F77" t="inlineStr">
        <is>
          <t>ÖSTERGÖTLANDS LÄN</t>
        </is>
      </c>
      <c r="G77" t="inlineStr">
        <is>
          <t>MJÖLBY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46323</v>
      </c>
      <c r="F78" t="inlineStr">
        <is>
          <t>ÖSTERGÖTLANDS LÄN</t>
        </is>
      </c>
      <c r="G78" t="inlineStr">
        <is>
          <t>MJÖLBY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46323</v>
      </c>
      <c r="F79" t="inlineStr">
        <is>
          <t>ÖSTERGÖTLANDS LÄN</t>
        </is>
      </c>
      <c r="G79" t="inlineStr">
        <is>
          <t>MJÖLBY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45918-2024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45580</v>
      </c>
      <c r="E80" s="1" t="n">
        <v>46323</v>
      </c>
      <c r="F80" t="inlineStr">
        <is>
          <t>ÖSTERGÖTLANDS LÄN</t>
        </is>
      </c>
      <c r="G80" t="inlineStr">
        <is>
          <t>MJÖLBY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45553</v>
      </c>
      <c r="E81" s="1" t="n">
        <v>46323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45269</v>
      </c>
      <c r="E82" s="1" t="n">
        <v>46323</v>
      </c>
      <c r="F82" t="inlineStr">
        <is>
          <t>ÖSTERGÖTLANDS LÄN</t>
        </is>
      </c>
      <c r="G82" t="inlineStr">
        <is>
          <t>MJÖLBY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46323</v>
      </c>
      <c r="F83" t="inlineStr">
        <is>
          <t>ÖSTERGÖTLANDS LÄN</t>
        </is>
      </c>
      <c r="G83" t="inlineStr">
        <is>
          <t>MJÖLBY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46323</v>
      </c>
      <c r="F84" t="inlineStr">
        <is>
          <t>ÖSTERGÖTLANDS LÄN</t>
        </is>
      </c>
      <c r="G84" t="inlineStr">
        <is>
          <t>MJÖLBY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43012-2024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45567</v>
      </c>
      <c r="E85" s="1" t="n">
        <v>46323</v>
      </c>
      <c r="F85" t="inlineStr">
        <is>
          <t>ÖSTERGÖTLANDS LÄN</t>
        </is>
      </c>
      <c r="G85" t="inlineStr">
        <is>
          <t>MJÖLBY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46323</v>
      </c>
      <c r="F86" t="inlineStr">
        <is>
          <t>ÖSTERGÖTLANDS LÄN</t>
        </is>
      </c>
      <c r="G86" t="inlineStr">
        <is>
          <t>MJÖLBY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46323</v>
      </c>
      <c r="F87" t="inlineStr">
        <is>
          <t>ÖSTERGÖTLANDS LÄN</t>
        </is>
      </c>
      <c r="G87" t="inlineStr">
        <is>
          <t>MJÖLBY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46323</v>
      </c>
      <c r="F88" t="inlineStr">
        <is>
          <t>ÖSTERGÖTLANDS LÄN</t>
        </is>
      </c>
      <c r="G88" t="inlineStr">
        <is>
          <t>MJÖLBY</t>
        </is>
      </c>
      <c r="H88" t="inlineStr">
        <is>
          <t>Kyrkan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46323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44769-2025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45917</v>
      </c>
      <c r="E90" s="1" t="n">
        <v>46323</v>
      </c>
      <c r="F90" t="inlineStr">
        <is>
          <t>ÖSTERGÖTLANDS LÄN</t>
        </is>
      </c>
      <c r="G90" t="inlineStr">
        <is>
          <t>MJÖLBY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46323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64934-2023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45282</v>
      </c>
      <c r="E92" s="1" t="n">
        <v>46323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46323</v>
      </c>
      <c r="F93" t="inlineStr">
        <is>
          <t>ÖSTERGÖTLANDS LÄN</t>
        </is>
      </c>
      <c r="G93" t="inlineStr">
        <is>
          <t>MJÖLBY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44904</v>
      </c>
      <c r="E94" s="1" t="n">
        <v>46323</v>
      </c>
      <c r="F94" t="inlineStr">
        <is>
          <t>ÖSTERGÖTLANDS LÄN</t>
        </is>
      </c>
      <c r="G94" t="inlineStr">
        <is>
          <t>MJÖLBY</t>
        </is>
      </c>
      <c r="H94" t="inlineStr">
        <is>
          <t>Övriga Aktiebolag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45973</v>
      </c>
      <c r="E95" s="1" t="n">
        <v>46323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46323</v>
      </c>
      <c r="F96" t="inlineStr">
        <is>
          <t>ÖSTERGÖTLANDS LÄN</t>
        </is>
      </c>
      <c r="G96" t="inlineStr">
        <is>
          <t>MJÖLBY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46323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46323</v>
      </c>
      <c r="F98" t="inlineStr">
        <is>
          <t>ÖSTERGÖTLANDS LÄN</t>
        </is>
      </c>
      <c r="G98" t="inlineStr">
        <is>
          <t>MJÖLBY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38278-2024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45545</v>
      </c>
      <c r="E99" s="1" t="n">
        <v>46323</v>
      </c>
      <c r="F99" t="inlineStr">
        <is>
          <t>ÖSTERGÖTLANDS LÄN</t>
        </is>
      </c>
      <c r="G99" t="inlineStr">
        <is>
          <t>MJÖLBY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45982</v>
      </c>
      <c r="E100" s="1" t="n">
        <v>46323</v>
      </c>
      <c r="F100" t="inlineStr">
        <is>
          <t>ÖSTERGÖTLANDS LÄN</t>
        </is>
      </c>
      <c r="G100" t="inlineStr">
        <is>
          <t>MJÖLBY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45384</v>
      </c>
      <c r="E101" s="1" t="n">
        <v>46323</v>
      </c>
      <c r="F101" t="inlineStr">
        <is>
          <t>ÖSTERGÖTLANDS LÄN</t>
        </is>
      </c>
      <c r="G101" t="inlineStr">
        <is>
          <t>MJÖLBY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46323</v>
      </c>
      <c r="F102" t="inlineStr">
        <is>
          <t>ÖSTERGÖTLANDS LÄN</t>
        </is>
      </c>
      <c r="G102" t="inlineStr">
        <is>
          <t>MJÖLBY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46323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46323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46323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46323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46323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46323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46323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46323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68095-2021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44526</v>
      </c>
      <c r="E111" s="1" t="n">
        <v>46323</v>
      </c>
      <c r="F111" t="inlineStr">
        <is>
          <t>ÖSTERGÖTLANDS LÄN</t>
        </is>
      </c>
      <c r="G111" t="inlineStr">
        <is>
          <t>MJÖLBY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45736</v>
      </c>
      <c r="E112" s="1" t="n">
        <v>46323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45526</v>
      </c>
      <c r="E113" s="1" t="n">
        <v>46323</v>
      </c>
      <c r="F113" t="inlineStr">
        <is>
          <t>ÖSTERGÖTLANDS LÄN</t>
        </is>
      </c>
      <c r="G113" t="inlineStr">
        <is>
          <t>MJÖLBY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46323</v>
      </c>
      <c r="F114" t="inlineStr">
        <is>
          <t>ÖSTERGÖTLANDS LÄN</t>
        </is>
      </c>
      <c r="G114" t="inlineStr">
        <is>
          <t>MJÖLBY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46323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46323</v>
      </c>
      <c r="F116" t="inlineStr">
        <is>
          <t>ÖSTERGÖTLANDS LÄN</t>
        </is>
      </c>
      <c r="G116" t="inlineStr">
        <is>
          <t>MJÖLBY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46198</v>
      </c>
      <c r="E117" s="1" t="n">
        <v>46323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44629</v>
      </c>
      <c r="E118" s="1" t="n">
        <v>46323</v>
      </c>
      <c r="F118" t="inlineStr">
        <is>
          <t>ÖSTERGÖTLANDS LÄN</t>
        </is>
      </c>
      <c r="G118" t="inlineStr">
        <is>
          <t>MJÖLBY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46323</v>
      </c>
      <c r="F119" t="inlineStr">
        <is>
          <t>ÖSTERGÖTLANDS LÄN</t>
        </is>
      </c>
      <c r="G119" t="inlineStr">
        <is>
          <t>MJÖLBY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45677</v>
      </c>
      <c r="E120" s="1" t="n">
        <v>46323</v>
      </c>
      <c r="F120" t="inlineStr">
        <is>
          <t>ÖSTERGÖTLANDS LÄN</t>
        </is>
      </c>
      <c r="G120" t="inlineStr">
        <is>
          <t>MJÖLBY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46323</v>
      </c>
      <c r="F121" t="inlineStr">
        <is>
          <t>ÖSTERGÖTLANDS LÄN</t>
        </is>
      </c>
      <c r="G121" t="inlineStr">
        <is>
          <t>MJÖLBY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44613</v>
      </c>
      <c r="E122" s="1" t="n">
        <v>46323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45314</v>
      </c>
      <c r="E123" s="1" t="n">
        <v>46323</v>
      </c>
      <c r="F123" t="inlineStr">
        <is>
          <t>ÖSTERGÖTLANDS LÄN</t>
        </is>
      </c>
      <c r="G123" t="inlineStr">
        <is>
          <t>MJÖLBY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46323</v>
      </c>
      <c r="F124" t="inlineStr">
        <is>
          <t>ÖSTERGÖTLANDS LÄN</t>
        </is>
      </c>
      <c r="G124" t="inlineStr">
        <is>
          <t>MJÖLBY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46323</v>
      </c>
      <c r="F125" t="inlineStr">
        <is>
          <t>ÖSTERGÖTLANDS LÄN</t>
        </is>
      </c>
      <c r="G125" t="inlineStr">
        <is>
          <t>MJÖLBY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45673</v>
      </c>
      <c r="E126" s="1" t="n">
        <v>46323</v>
      </c>
      <c r="F126" t="inlineStr">
        <is>
          <t>ÖSTERGÖTLANDS LÄN</t>
        </is>
      </c>
      <c r="G126" t="inlineStr">
        <is>
          <t>MJÖLBY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46323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46323</v>
      </c>
      <c r="F128" t="inlineStr">
        <is>
          <t>ÖSTERGÖTLANDS LÄN</t>
        </is>
      </c>
      <c r="G128" t="inlineStr">
        <is>
          <t>MJÖLBY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31161-2026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46323</v>
      </c>
      <c r="F129" t="inlineStr">
        <is>
          <t>ÖSTERGÖTLANDS LÄN</t>
        </is>
      </c>
      <c r="G129" t="inlineStr">
        <is>
          <t>MJÖLBY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46217</v>
      </c>
      <c r="E130" s="1" t="n">
        <v>46323</v>
      </c>
      <c r="F130" t="inlineStr">
        <is>
          <t>ÖSTERGÖTLANDS LÄN</t>
        </is>
      </c>
      <c r="G130" t="inlineStr">
        <is>
          <t>MJÖLBY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46217</v>
      </c>
      <c r="E131" s="1" t="n">
        <v>46323</v>
      </c>
      <c r="F131" t="inlineStr">
        <is>
          <t>ÖSTERGÖTLANDS LÄN</t>
        </is>
      </c>
      <c r="G131" t="inlineStr">
        <is>
          <t>MJÖLBY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46323</v>
      </c>
      <c r="F132" t="inlineStr">
        <is>
          <t>ÖSTERGÖTLANDS LÄN</t>
        </is>
      </c>
      <c r="G132" t="inlineStr">
        <is>
          <t>MJÖLBY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46232</v>
      </c>
      <c r="E133" s="1" t="n">
        <v>46323</v>
      </c>
      <c r="F133" t="inlineStr">
        <is>
          <t>ÖSTERGÖTLANDS LÄN</t>
        </is>
      </c>
      <c r="G133" t="inlineStr">
        <is>
          <t>MJÖLBY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46323</v>
      </c>
      <c r="F134" t="inlineStr">
        <is>
          <t>ÖSTERGÖTLANDS LÄN</t>
        </is>
      </c>
      <c r="G134" t="inlineStr">
        <is>
          <t>MJÖLBY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46323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46232</v>
      </c>
      <c r="E136" s="1" t="n">
        <v>46323</v>
      </c>
      <c r="F136" t="inlineStr">
        <is>
          <t>ÖSTERGÖTLANDS LÄN</t>
        </is>
      </c>
      <c r="G136" t="inlineStr">
        <is>
          <t>MJÖLBY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46237</v>
      </c>
      <c r="E137" s="1" t="n">
        <v>46323</v>
      </c>
      <c r="F137" t="inlineStr">
        <is>
          <t>ÖSTERGÖTLANDS LÄN</t>
        </is>
      </c>
      <c r="G137" t="inlineStr">
        <is>
          <t>MJÖLBY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32558-2026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46239</v>
      </c>
      <c r="E138" s="1" t="n">
        <v>46323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46239</v>
      </c>
      <c r="E139" s="1" t="n">
        <v>46323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46239</v>
      </c>
      <c r="E140" s="1" t="n">
        <v>46323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46323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46079</v>
      </c>
      <c r="E142" s="1" t="n">
        <v>46323</v>
      </c>
      <c r="F142" t="inlineStr">
        <is>
          <t>ÖSTERGÖTLANDS LÄN</t>
        </is>
      </c>
      <c r="G142" t="inlineStr">
        <is>
          <t>MJÖLBY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46323</v>
      </c>
      <c r="F143" t="inlineStr">
        <is>
          <t>ÖSTERGÖTLANDS LÄN</t>
        </is>
      </c>
      <c r="G143" t="inlineStr">
        <is>
          <t>MJÖLBY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46323</v>
      </c>
      <c r="F144" t="inlineStr">
        <is>
          <t>ÖSTERGÖTLANDS LÄN</t>
        </is>
      </c>
      <c r="G144" t="inlineStr">
        <is>
          <t>MJÖLBY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46323</v>
      </c>
      <c r="F145" t="inlineStr">
        <is>
          <t>ÖSTERGÖTLANDS LÄN</t>
        </is>
      </c>
      <c r="G145" t="inlineStr">
        <is>
          <t>MJÖLBY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46290</v>
      </c>
      <c r="E146" s="1" t="n">
        <v>46323</v>
      </c>
      <c r="F146" t="inlineStr">
        <is>
          <t>ÖSTERGÖTLANDS LÄN</t>
        </is>
      </c>
      <c r="G146" t="inlineStr">
        <is>
          <t>MJÖLBY</t>
        </is>
      </c>
      <c r="I146" t="n">
        <v>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46290</v>
      </c>
      <c r="E147" s="1" t="n">
        <v>46323</v>
      </c>
      <c r="F147" t="inlineStr">
        <is>
          <t>ÖSTERGÖTLANDS LÄN</t>
        </is>
      </c>
      <c r="G147" t="inlineStr">
        <is>
          <t>MJÖLBY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46104</v>
      </c>
      <c r="E148" s="1" t="n">
        <v>46323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46323</v>
      </c>
      <c r="F149" t="inlineStr">
        <is>
          <t>ÖSTERGÖTLANDS LÄN</t>
        </is>
      </c>
      <c r="G149" t="inlineStr">
        <is>
          <t>MJÖLBY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52655-2023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45225</v>
      </c>
      <c r="E150" s="1" t="n">
        <v>46323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46323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46323</v>
      </c>
      <c r="F152" t="inlineStr">
        <is>
          <t>ÖSTERGÖTLANDS LÄN</t>
        </is>
      </c>
      <c r="G152" t="inlineStr">
        <is>
          <t>MJÖLBY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44951</v>
      </c>
      <c r="E153" s="1" t="n">
        <v>46323</v>
      </c>
      <c r="F153" t="inlineStr">
        <is>
          <t>ÖSTERGÖTLANDS LÄN</t>
        </is>
      </c>
      <c r="G153" t="inlineStr">
        <is>
          <t>MJÖLBY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46323</v>
      </c>
      <c r="F154" t="inlineStr">
        <is>
          <t>ÖSTERGÖTLANDS LÄN</t>
        </is>
      </c>
      <c r="G154" t="inlineStr">
        <is>
          <t>MJÖLBY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46323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46323</v>
      </c>
      <c r="F156" t="inlineStr">
        <is>
          <t>ÖSTERGÖTLANDS LÄN</t>
        </is>
      </c>
      <c r="G156" t="inlineStr">
        <is>
          <t>MJÖLBY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45525</v>
      </c>
      <c r="E157" s="1" t="n">
        <v>46323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46253</v>
      </c>
      <c r="E158" s="1" t="n">
        <v>46323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45666</v>
      </c>
      <c r="E159" s="1" t="n">
        <v>46323</v>
      </c>
      <c r="F159" t="inlineStr">
        <is>
          <t>ÖSTERGÖTLANDS LÄN</t>
        </is>
      </c>
      <c r="G159" t="inlineStr">
        <is>
          <t>MJÖLBY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46323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46323</v>
      </c>
      <c r="F161" t="inlineStr">
        <is>
          <t>ÖSTERGÖTLANDS LÄN</t>
        </is>
      </c>
      <c r="G161" t="inlineStr">
        <is>
          <t>MJÖLBY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46323</v>
      </c>
      <c r="F162" t="inlineStr">
        <is>
          <t>ÖSTERGÖTLANDS LÄN</t>
        </is>
      </c>
      <c r="G162" t="inlineStr">
        <is>
          <t>MJÖLBY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46253</v>
      </c>
      <c r="E163" s="1" t="n">
        <v>46323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46253</v>
      </c>
      <c r="E164" s="1" t="n">
        <v>46323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46323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46300</v>
      </c>
      <c r="E166" s="1" t="n">
        <v>46323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46300</v>
      </c>
      <c r="E167" s="1" t="n">
        <v>46323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46323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46258</v>
      </c>
      <c r="E169" s="1" t="n">
        <v>46323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45892</v>
      </c>
      <c r="E170" s="1" t="n">
        <v>46323</v>
      </c>
      <c r="F170" t="inlineStr">
        <is>
          <t>ÖSTERGÖTLANDS LÄN</t>
        </is>
      </c>
      <c r="G170" t="inlineStr">
        <is>
          <t>MJÖLBY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34794-2026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46258</v>
      </c>
      <c r="E171" s="1" t="n">
        <v>46323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46323</v>
      </c>
      <c r="F172" t="inlineStr">
        <is>
          <t>ÖSTERGÖTLANDS LÄN</t>
        </is>
      </c>
      <c r="G172" t="inlineStr">
        <is>
          <t>MJÖLBY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46323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46303</v>
      </c>
      <c r="E174" s="1" t="n">
        <v>46323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46323</v>
      </c>
      <c r="F175" t="inlineStr">
        <is>
          <t>ÖSTERGÖTLANDS LÄN</t>
        </is>
      </c>
      <c r="G175" t="inlineStr">
        <is>
          <t>MJÖLBY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46302</v>
      </c>
      <c r="E176" s="1" t="n">
        <v>46323</v>
      </c>
      <c r="F176" t="inlineStr">
        <is>
          <t>ÖSTERGÖTLANDS LÄN</t>
        </is>
      </c>
      <c r="G176" t="inlineStr">
        <is>
          <t>MJÖLBY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27232-2025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45812</v>
      </c>
      <c r="E177" s="1" t="n">
        <v>46323</v>
      </c>
      <c r="F177" t="inlineStr">
        <is>
          <t>ÖSTERGÖTLANDS LÄN</t>
        </is>
      </c>
      <c r="G177" t="inlineStr">
        <is>
          <t>MJÖLBY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46323</v>
      </c>
      <c r="F178" t="inlineStr">
        <is>
          <t>ÖSTERGÖTLANDS LÄN</t>
        </is>
      </c>
      <c r="G178" t="inlineStr">
        <is>
          <t>MJÖLBY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46323</v>
      </c>
      <c r="F179" t="inlineStr">
        <is>
          <t>ÖSTERGÖTLANDS LÄN</t>
        </is>
      </c>
      <c r="G179" t="inlineStr">
        <is>
          <t>MJÖLBY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45324</v>
      </c>
      <c r="E180" s="1" t="n">
        <v>46323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46323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44768</v>
      </c>
      <c r="E182" s="1" t="n">
        <v>46323</v>
      </c>
      <c r="F182" t="inlineStr">
        <is>
          <t>ÖSTERGÖTLANDS LÄN</t>
        </is>
      </c>
      <c r="G182" t="inlineStr">
        <is>
          <t>MJÖLBY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46323</v>
      </c>
      <c r="F183" t="inlineStr">
        <is>
          <t>ÖSTERGÖTLANDS LÄN</t>
        </is>
      </c>
      <c r="G183" t="inlineStr">
        <is>
          <t>MJÖLBY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46323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46323</v>
      </c>
      <c r="F185" t="inlineStr">
        <is>
          <t>ÖSTERGÖTLANDS LÄN</t>
        </is>
      </c>
      <c r="G185" t="inlineStr">
        <is>
          <t>MJÖLBY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46267</v>
      </c>
      <c r="E186" s="1" t="n">
        <v>46323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46323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46323</v>
      </c>
      <c r="F188" t="inlineStr">
        <is>
          <t>ÖSTERGÖTLANDS LÄN</t>
        </is>
      </c>
      <c r="G188" t="inlineStr">
        <is>
          <t>MJÖLBY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46323</v>
      </c>
      <c r="F189" t="inlineStr">
        <is>
          <t>ÖSTERGÖTLANDS LÄN</t>
        </is>
      </c>
      <c r="G189" t="inlineStr">
        <is>
          <t>MJÖLBY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45370</v>
      </c>
      <c r="E190" s="1" t="n">
        <v>46323</v>
      </c>
      <c r="F190" t="inlineStr">
        <is>
          <t>ÖSTERGÖTLANDS LÄN</t>
        </is>
      </c>
      <c r="G190" t="inlineStr">
        <is>
          <t>MJÖLBY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46323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Kommuner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46323</v>
      </c>
      <c r="F192" t="inlineStr">
        <is>
          <t>ÖSTERGÖTLANDS LÄN</t>
        </is>
      </c>
      <c r="G192" t="inlineStr">
        <is>
          <t>MJÖLBY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46323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46323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46323</v>
      </c>
      <c r="F195" t="inlineStr">
        <is>
          <t>ÖSTERGÖTLANDS LÄN</t>
        </is>
      </c>
      <c r="G195" t="inlineStr">
        <is>
          <t>MJÖLBY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46316</v>
      </c>
      <c r="E196" s="1" t="n">
        <v>46323</v>
      </c>
      <c r="F196" t="inlineStr">
        <is>
          <t>ÖSTERGÖTLANDS LÄN</t>
        </is>
      </c>
      <c r="G196" t="inlineStr">
        <is>
          <t>MJÖLBY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46323</v>
      </c>
      <c r="F197" t="inlineStr">
        <is>
          <t>ÖSTERGÖTLANDS LÄN</t>
        </is>
      </c>
      <c r="G197" t="inlineStr">
        <is>
          <t>MJÖLBY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46323</v>
      </c>
      <c r="F198" t="inlineStr">
        <is>
          <t>ÖSTERGÖTLANDS LÄN</t>
        </is>
      </c>
      <c r="G198" t="inlineStr">
        <is>
          <t>MJÖLBY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46275</v>
      </c>
      <c r="E199" s="1" t="n">
        <v>46323</v>
      </c>
      <c r="F199" t="inlineStr">
        <is>
          <t>ÖSTERGÖTLANDS LÄN</t>
        </is>
      </c>
      <c r="G199" t="inlineStr">
        <is>
          <t>MJÖLBY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42042-2023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45177</v>
      </c>
      <c r="E200" s="1" t="n">
        <v>46323</v>
      </c>
      <c r="F200" t="inlineStr">
        <is>
          <t>ÖSTERGÖTLANDS LÄN</t>
        </is>
      </c>
      <c r="G200" t="inlineStr">
        <is>
          <t>MJÖLBY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46323</v>
      </c>
      <c r="F201" t="inlineStr">
        <is>
          <t>ÖSTERGÖTLANDS LÄN</t>
        </is>
      </c>
      <c r="G201" t="inlineStr">
        <is>
          <t>MJÖLBY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46323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46323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46323</v>
      </c>
      <c r="F204" t="inlineStr">
        <is>
          <t>ÖSTERGÖTLANDS LÄN</t>
        </is>
      </c>
      <c r="G204" t="inlineStr">
        <is>
          <t>MJÖLBY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46275</v>
      </c>
      <c r="E205" s="1" t="n">
        <v>46323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46323</v>
      </c>
      <c r="F206" t="inlineStr">
        <is>
          <t>ÖSTERGÖTLANDS LÄN</t>
        </is>
      </c>
      <c r="G206" t="inlineStr">
        <is>
          <t>MJÖLBY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46323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46323</v>
      </c>
      <c r="F208" t="inlineStr">
        <is>
          <t>ÖSTERGÖTLANDS LÄN</t>
        </is>
      </c>
      <c r="G208" t="inlineStr">
        <is>
          <t>MJÖLBY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46323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Kyrkan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46323</v>
      </c>
      <c r="F210" t="inlineStr">
        <is>
          <t>ÖSTERGÖTLANDS LÄN</t>
        </is>
      </c>
      <c r="G210" t="inlineStr">
        <is>
          <t>MJÖLBY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46148</v>
      </c>
      <c r="E211" s="1" t="n">
        <v>46323</v>
      </c>
      <c r="F211" t="inlineStr">
        <is>
          <t>ÖSTERGÖTLANDS LÄN</t>
        </is>
      </c>
      <c r="G211" t="inlineStr">
        <is>
          <t>MJÖLBY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46323</v>
      </c>
      <c r="F212" t="inlineStr">
        <is>
          <t>ÖSTERGÖTLANDS LÄN</t>
        </is>
      </c>
      <c r="G212" t="inlineStr">
        <is>
          <t>MJÖLBY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46323</v>
      </c>
      <c r="F213" t="inlineStr">
        <is>
          <t>ÖSTERGÖTLANDS LÄN</t>
        </is>
      </c>
      <c r="G213" t="inlineStr">
        <is>
          <t>MJÖLBY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46323</v>
      </c>
      <c r="F214" t="inlineStr">
        <is>
          <t>ÖSTERGÖTLANDS LÄN</t>
        </is>
      </c>
      <c r="G214" t="inlineStr">
        <is>
          <t>MJÖLBY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46168</v>
      </c>
      <c r="E215" s="1" t="n">
        <v>46323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45666</v>
      </c>
      <c r="E216" s="1" t="n">
        <v>46323</v>
      </c>
      <c r="F216" t="inlineStr">
        <is>
          <t>ÖSTERGÖTLANDS LÄN</t>
        </is>
      </c>
      <c r="G216" t="inlineStr">
        <is>
          <t>MJÖLBY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46323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46323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46323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24903-2026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46174</v>
      </c>
      <c r="E220" s="1" t="n">
        <v>46323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46323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46323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46323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46323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46323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46323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27126-2026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46188</v>
      </c>
      <c r="E227" s="1" t="n">
        <v>46323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46323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46323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46323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46323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2026-10-28T03:17:16Z</dcterms:created>
  <dcterms:modified xmlns:dcterms="http://purl.org/dc/terms/" xmlns:xsi="http://www.w3.org/2001/XMLSchema-instance" xsi:type="dcterms:W3CDTF">2026-10-28T03:17:16Z</dcterms:modified>
</cp:coreProperties>
</file>