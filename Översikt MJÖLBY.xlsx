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46324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46324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46324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9030-2022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44615</v>
      </c>
      <c r="E5" s="1" t="n">
        <v>46324</v>
      </c>
      <c r="F5" t="inlineStr">
        <is>
          <t>ÖSTERGÖTLANDS LÄN</t>
        </is>
      </c>
      <c r="G5" t="inlineStr">
        <is>
          <t>MJÖLBY</t>
        </is>
      </c>
      <c r="I5" t="n">
        <v>2.1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Skogsalm</t>
        </is>
      </c>
      <c r="W5">
        <f>HYPERLINK("https://klasma.github.io/Logging_0586/artfynd/A 9030-2022 artfynd.xlsx", "A 9030-2022")</f>
        <v/>
      </c>
      <c r="X5">
        <f>HYPERLINK("https://klasma.github.io/Logging_0586/kartor/A 9030-2022 karta.png", "A 9030-2022")</f>
        <v/>
      </c>
      <c r="Y5">
        <f>HYPERLINK("https://klasma.github.io/Logging_0586/kartor_geotiff/A 9030-2022 georefererad karta.tif", "A 9030-2022")</f>
        <v/>
      </c>
      <c r="AA5">
        <f>HYPERLINK("https://klasma.github.io/Logging_0586/klagomål/A 9030-2022 FSC-klagomål.docx", "A 9030-2022")</f>
        <v/>
      </c>
      <c r="AB5">
        <f>HYPERLINK("https://klasma.github.io/Logging_0586/klagomålsmail/A 9030-2022 FSC-klagomål mail.docx", "A 9030-2022")</f>
        <v/>
      </c>
      <c r="AC5">
        <f>HYPERLINK("https://klasma.github.io/Logging_0586/tillsyn/A 9030-2022 tillsynsbegäran.docx", "A 9030-2022")</f>
        <v/>
      </c>
      <c r="AD5">
        <f>HYPERLINK("https://klasma.github.io/Logging_0586/tillsynsmail/A 9030-2022 tillsynsbegäran mail.docx", "A 9030-2022")</f>
        <v/>
      </c>
    </row>
    <row r="6" ht="15" customHeight="1">
      <c r="A6" t="inlineStr">
        <is>
          <t>A 33532-2024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45519</v>
      </c>
      <c r="E6" s="1" t="n">
        <v>46324</v>
      </c>
      <c r="F6" t="inlineStr">
        <is>
          <t>ÖSTERGÖTLANDS LÄN</t>
        </is>
      </c>
      <c r="G6" t="inlineStr">
        <is>
          <t>MJÖLBY</t>
        </is>
      </c>
      <c r="I6" t="n">
        <v>1.5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Backsippa</t>
        </is>
      </c>
      <c r="W6">
        <f>HYPERLINK("https://klasma.github.io/Logging_0586/artfynd/A 33532-2024 artfynd.xlsx", "A 33532-2024")</f>
        <v/>
      </c>
      <c r="X6">
        <f>HYPERLINK("https://klasma.github.io/Logging_0586/kartor/A 33532-2024 karta.png", "A 33532-2024")</f>
        <v/>
      </c>
      <c r="Y6">
        <f>HYPERLINK("https://klasma.github.io/Logging_0586/kartor_geotiff/A 33532-2024 georefererad karta.tif", "A 33532-2024")</f>
        <v/>
      </c>
      <c r="AA6">
        <f>HYPERLINK("https://klasma.github.io/Logging_0586/klagomål/A 33532-2024 FSC-klagomål.docx", "A 33532-2024")</f>
        <v/>
      </c>
      <c r="AB6">
        <f>HYPERLINK("https://klasma.github.io/Logging_0586/klagomålsmail/A 33532-2024 FSC-klagomål mail.docx", "A 33532-2024")</f>
        <v/>
      </c>
      <c r="AC6">
        <f>HYPERLINK("https://klasma.github.io/Logging_0586/tillsyn/A 33532-2024 tillsynsbegäran.docx", "A 33532-2024")</f>
        <v/>
      </c>
      <c r="AD6">
        <f>HYPERLINK("https://klasma.github.io/Logging_0586/tillsynsmail/A 33532-2024 tillsynsbegäran mail.docx", "A 33532-2024")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46324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45164-2023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45191</v>
      </c>
      <c r="E8" s="1" t="n">
        <v>46324</v>
      </c>
      <c r="F8" t="inlineStr">
        <is>
          <t>ÖSTERGÖTLANDS LÄN</t>
        </is>
      </c>
      <c r="G8" t="inlineStr">
        <is>
          <t>MJÖLBY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Skogsduva</t>
        </is>
      </c>
      <c r="W8">
        <f>HYPERLINK("https://klasma.github.io/Logging_0586/artfynd/A 45164-2023 artfynd.xlsx", "A 45164-2023")</f>
        <v/>
      </c>
      <c r="X8">
        <f>HYPERLINK("https://klasma.github.io/Logging_0586/kartor/A 45164-2023 karta.png", "A 45164-2023")</f>
        <v/>
      </c>
      <c r="Y8">
        <f>HYPERLINK("https://klasma.github.io/Logging_0586/kartor_geotiff/A 45164-2023 georefererad karta.tif", "A 45164-2023")</f>
        <v/>
      </c>
      <c r="AA8">
        <f>HYPERLINK("https://klasma.github.io/Logging_0586/klagomål/A 45164-2023 FSC-klagomål.docx", "A 45164-2023")</f>
        <v/>
      </c>
      <c r="AB8">
        <f>HYPERLINK("https://klasma.github.io/Logging_0586/klagomålsmail/A 45164-2023 FSC-klagomål mail.docx", "A 45164-2023")</f>
        <v/>
      </c>
      <c r="AC8">
        <f>HYPERLINK("https://klasma.github.io/Logging_0586/tillsyn/A 45164-2023 tillsynsbegäran.docx", "A 45164-2023")</f>
        <v/>
      </c>
      <c r="AD8">
        <f>HYPERLINK("https://klasma.github.io/Logging_0586/tillsynsmail/A 45164-2023 tillsynsbegäran mail.docx", "A 45164-2023")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46324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13567-2025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45736</v>
      </c>
      <c r="E10" s="1" t="n">
        <v>46324</v>
      </c>
      <c r="F10" t="inlineStr">
        <is>
          <t>ÖSTERGÖTLANDS LÄN</t>
        </is>
      </c>
      <c r="G10" t="inlineStr">
        <is>
          <t>MJÖLBY</t>
        </is>
      </c>
      <c r="I10" t="n">
        <v>4.1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Klubbsprötad bastardsvärmare</t>
        </is>
      </c>
      <c r="W10">
        <f>HYPERLINK("https://klasma.github.io/Logging_0586/artfynd/A 13567-2025 artfynd.xlsx", "A 13567-2025")</f>
        <v/>
      </c>
      <c r="X10">
        <f>HYPERLINK("https://klasma.github.io/Logging_0586/kartor/A 13567-2025 karta.png", "A 13567-2025")</f>
        <v/>
      </c>
      <c r="Y10">
        <f>HYPERLINK("https://klasma.github.io/Logging_0586/kartor_geotiff/A 13567-2025 georefererad karta.tif", "A 13567-2025")</f>
        <v/>
      </c>
      <c r="AA10">
        <f>HYPERLINK("https://klasma.github.io/Logging_0586/klagomål/A 13567-2025 FSC-klagomål.docx", "A 13567-2025")</f>
        <v/>
      </c>
      <c r="AB10">
        <f>HYPERLINK("https://klasma.github.io/Logging_0586/klagomålsmail/A 13567-2025 FSC-klagomål mail.docx", "A 13567-2025")</f>
        <v/>
      </c>
      <c r="AC10">
        <f>HYPERLINK("https://klasma.github.io/Logging_0586/tillsyn/A 13567-2025 tillsynsbegäran.docx", "A 13567-2025")</f>
        <v/>
      </c>
      <c r="AD10">
        <f>HYPERLINK("https://klasma.github.io/Logging_0586/tillsynsmail/A 13567-2025 tillsynsbegäran mail.docx", "A 13567-2025")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46324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46324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46324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46324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1</v>
      </c>
      <c r="V14" s="2" t="inlineStr">
        <is>
          <t>Springkorn</t>
        </is>
      </c>
      <c r="W14">
        <f>HYPERLINK("https://klasma.github.io/Logging_0586/artfynd/A 50403-2022 artfynd.xlsx", "A 50403-2022")</f>
        <v/>
      </c>
      <c r="X14">
        <f>HYPERLINK("https://klasma.github.io/Logging_0586/kartor/A 50403-2022 karta.png", "A 50403-2022")</f>
        <v/>
      </c>
      <c r="Y14">
        <f>HYPERLINK("https://klasma.github.io/Logging_0586/kartor_geotiff/A 50403-2022 georefererad karta.tif", "A 50403-2022")</f>
        <v/>
      </c>
      <c r="AA14">
        <f>HYPERLINK("https://klasma.github.io/Logging_0586/klagomål/A 50403-2022 FSC-klagomål.docx", "A 50403-2022")</f>
        <v/>
      </c>
      <c r="AB14">
        <f>HYPERLINK("https://klasma.github.io/Logging_0586/klagomålsmail/A 50403-2022 FSC-klagomål mail.docx", "A 50403-2022")</f>
        <v/>
      </c>
      <c r="AC14">
        <f>HYPERLINK("https://klasma.github.io/Logging_0586/tillsyn/A 50403-2022 tillsynsbegäran.docx", "A 50403-2022")</f>
        <v/>
      </c>
      <c r="AD14">
        <f>HYPERLINK("https://klasma.github.io/Logging_0586/tillsynsmail/A 50403-2022 tillsynsbegäran mail.docx", "A 50403-2022")</f>
        <v/>
      </c>
    </row>
    <row r="15" ht="15" customHeight="1">
      <c r="A15" t="inlineStr">
        <is>
          <t>A 53521-2023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46324</v>
      </c>
      <c r="F15" t="inlineStr">
        <is>
          <t>ÖSTERGÖTLANDS LÄN</t>
        </is>
      </c>
      <c r="G15" t="inlineStr">
        <is>
          <t>MJÖLBY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Skogsduva</t>
        </is>
      </c>
      <c r="W15">
        <f>HYPERLINK("https://klasma.github.io/Logging_0586/artfynd/A 53521-2023 artfynd.xlsx", "A 53521-2023")</f>
        <v/>
      </c>
      <c r="X15">
        <f>HYPERLINK("https://klasma.github.io/Logging_0586/kartor/A 53521-2023 karta.png", "A 53521-2023")</f>
        <v/>
      </c>
      <c r="Y15">
        <f>HYPERLINK("https://klasma.github.io/Logging_0586/kartor_geotiff/A 53521-2023 georefererad karta.tif", "A 53521-2023")</f>
        <v/>
      </c>
      <c r="AA15">
        <f>HYPERLINK("https://klasma.github.io/Logging_0586/klagomål/A 53521-2023 FSC-klagomål.docx", "A 53521-2023")</f>
        <v/>
      </c>
      <c r="AB15">
        <f>HYPERLINK("https://klasma.github.io/Logging_0586/klagomålsmail/A 53521-2023 FSC-klagomål mail.docx", "A 53521-2023")</f>
        <v/>
      </c>
      <c r="AC15">
        <f>HYPERLINK("https://klasma.github.io/Logging_0586/tillsyn/A 53521-2023 tillsynsbegäran.docx", "A 53521-2023")</f>
        <v/>
      </c>
      <c r="AD15">
        <f>HYPERLINK("https://klasma.github.io/Logging_0586/tillsynsmail/A 53521-2023 tillsynsbegäran mail.docx", "A 53521-2023")</f>
        <v/>
      </c>
    </row>
    <row r="16" ht="15" customHeight="1">
      <c r="A16" t="inlineStr">
        <is>
          <t>A 2230-2025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46324</v>
      </c>
      <c r="F16" t="inlineStr">
        <is>
          <t>ÖSTERGÖTLANDS LÄN</t>
        </is>
      </c>
      <c r="G16" t="inlineStr">
        <is>
          <t>MJÖLBY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HYPERLINK("https://klasma.github.io/Logging_0586/artfynd/A 2230-2025 artfynd.xlsx", "A 2230-2025")</f>
        <v/>
      </c>
      <c r="X16">
        <f>HYPERLINK("https://klasma.github.io/Logging_0586/kartor/A 2230-2025 karta.png", "A 2230-2025")</f>
        <v/>
      </c>
      <c r="Y16">
        <f>HYPERLINK("https://klasma.github.io/Logging_0586/kartor_geotiff/A 2230-2025 georefererad karta.tif", "A 2230-2025")</f>
        <v/>
      </c>
      <c r="AA16">
        <f>HYPERLINK("https://klasma.github.io/Logging_0586/klagomål/A 2230-2025 FSC-klagomål.docx", "A 2230-2025")</f>
        <v/>
      </c>
      <c r="AB16">
        <f>HYPERLINK("https://klasma.github.io/Logging_0586/klagomålsmail/A 2230-2025 FSC-klagomål mail.docx", "A 2230-2025")</f>
        <v/>
      </c>
      <c r="AC16">
        <f>HYPERLINK("https://klasma.github.io/Logging_0586/tillsyn/A 2230-2025 tillsynsbegäran.docx", "A 2230-2025")</f>
        <v/>
      </c>
      <c r="AD16">
        <f>HYPERLINK("https://klasma.github.io/Logging_0586/tillsynsmail/A 2230-2025 tillsynsbegäran mail.docx", "A 2230-2025")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46324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46324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46324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46324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46324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41635-2026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46301</v>
      </c>
      <c r="E22" s="1" t="n">
        <v>46324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HYPERLINK("https://klasma.github.io/Logging_0586/artfynd/A 41635-2026 artfynd.xlsx", "A 41635-2026")</f>
        <v/>
      </c>
      <c r="X22">
        <f>HYPERLINK("https://klasma.github.io/Logging_0586/kartor/A 41635-2026 karta.png", "A 41635-2026")</f>
        <v/>
      </c>
      <c r="Y22">
        <f>HYPERLINK("https://klasma.github.io/Logging_0586/kartor_geotiff/A 41635-2026 georefererad karta.tif", "A 41635-2026")</f>
        <v/>
      </c>
      <c r="AA22">
        <f>HYPERLINK("https://klasma.github.io/Logging_0586/klagomål/A 41635-2026 FSC-klagomål.docx", "A 41635-2026")</f>
        <v/>
      </c>
      <c r="AB22">
        <f>HYPERLINK("https://klasma.github.io/Logging_0586/klagomålsmail/A 41635-2026 FSC-klagomål mail.docx", "A 41635-2026")</f>
        <v/>
      </c>
      <c r="AC22">
        <f>HYPERLINK("https://klasma.github.io/Logging_0586/tillsyn/A 41635-2026 tillsynsbegäran.docx", "A 41635-2026")</f>
        <v/>
      </c>
      <c r="AD22">
        <f>HYPERLINK("https://klasma.github.io/Logging_0586/tillsynsmail/A 41635-2026 tillsynsbegäran mail.docx", "A 41635-2026")</f>
        <v/>
      </c>
    </row>
    <row r="23" ht="15" customHeight="1">
      <c r="A23" t="inlineStr">
        <is>
          <t>A 43425-2026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46314</v>
      </c>
      <c r="E23" s="1" t="n">
        <v>46324</v>
      </c>
      <c r="F23" t="inlineStr">
        <is>
          <t>ÖSTERGÖTLANDS LÄN</t>
        </is>
      </c>
      <c r="G23" t="inlineStr">
        <is>
          <t>MJÖLBY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Brun nållav</t>
        </is>
      </c>
      <c r="W23">
        <f>HYPERLINK("https://klasma.github.io/Logging_0586/artfynd/A 43425-2026 artfynd.xlsx", "A 43425-2026")</f>
        <v/>
      </c>
      <c r="X23">
        <f>HYPERLINK("https://klasma.github.io/Logging_0586/kartor/A 43425-2026 karta.png", "A 43425-2026")</f>
        <v/>
      </c>
      <c r="Y23">
        <f>HYPERLINK("https://klasma.github.io/Logging_0586/kartor_geotiff/A 43425-2026 georefererad karta.tif", "A 43425-2026")</f>
        <v/>
      </c>
      <c r="AA23">
        <f>HYPERLINK("https://klasma.github.io/Logging_0586/klagomål/A 43425-2026 FSC-klagomål.docx", "A 43425-2026")</f>
        <v/>
      </c>
      <c r="AB23">
        <f>HYPERLINK("https://klasma.github.io/Logging_0586/klagomålsmail/A 43425-2026 FSC-klagomål mail.docx", "A 43425-2026")</f>
        <v/>
      </c>
      <c r="AC23">
        <f>HYPERLINK("https://klasma.github.io/Logging_0586/tillsyn/A 43425-2026 tillsynsbegäran.docx", "A 43425-2026")</f>
        <v/>
      </c>
      <c r="AD23">
        <f>HYPERLINK("https://klasma.github.io/Logging_0586/tillsynsmail/A 43425-2026 tillsynsbegäran mail.docx", "A 43425-2026")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46324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46324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46324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46324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46324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4314-2024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45324</v>
      </c>
      <c r="E29" s="1" t="n">
        <v>46324</v>
      </c>
      <c r="F29" t="inlineStr">
        <is>
          <t>ÖSTERGÖTLANDS LÄN</t>
        </is>
      </c>
      <c r="G29" t="inlineStr">
        <is>
          <t>MJÖLBY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46324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45384</v>
      </c>
      <c r="E31" s="1" t="n">
        <v>46324</v>
      </c>
      <c r="F31" t="inlineStr">
        <is>
          <t>ÖSTERGÖTLANDS LÄN</t>
        </is>
      </c>
      <c r="G31" t="inlineStr">
        <is>
          <t>MJÖLBY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45597</v>
      </c>
      <c r="E32" s="1" t="n">
        <v>46324</v>
      </c>
      <c r="F32" t="inlineStr">
        <is>
          <t>ÖSTERGÖTLANDS LÄN</t>
        </is>
      </c>
      <c r="G32" t="inlineStr">
        <is>
          <t>MJÖLBY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46324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41819-2023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45176</v>
      </c>
      <c r="E34" s="1" t="n">
        <v>46324</v>
      </c>
      <c r="F34" t="inlineStr">
        <is>
          <t>ÖSTERGÖTLANDS LÄN</t>
        </is>
      </c>
      <c r="G34" t="inlineStr">
        <is>
          <t>MJÖLBY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22307-2024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46324</v>
      </c>
      <c r="F35" t="inlineStr">
        <is>
          <t>ÖSTERGÖTLANDS LÄN</t>
        </is>
      </c>
      <c r="G35" t="inlineStr">
        <is>
          <t>MJÖLBY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46324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46324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34431-2022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44792</v>
      </c>
      <c r="E38" s="1" t="n">
        <v>46324</v>
      </c>
      <c r="F38" t="inlineStr">
        <is>
          <t>ÖSTERGÖTLANDS LÄN</t>
        </is>
      </c>
      <c r="G38" t="inlineStr">
        <is>
          <t>MJÖLBY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24499-2025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45798</v>
      </c>
      <c r="E39" s="1" t="n">
        <v>46324</v>
      </c>
      <c r="F39" t="inlineStr">
        <is>
          <t>ÖSTERGÖTLANDS LÄN</t>
        </is>
      </c>
      <c r="G39" t="inlineStr">
        <is>
          <t>MJÖLBY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46324</v>
      </c>
      <c r="F40" t="inlineStr">
        <is>
          <t>ÖSTERGÖTLANDS LÄN</t>
        </is>
      </c>
      <c r="G40" t="inlineStr">
        <is>
          <t>MJÖLBY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60969-2023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45261</v>
      </c>
      <c r="E41" s="1" t="n">
        <v>46324</v>
      </c>
      <c r="F41" t="inlineStr">
        <is>
          <t>ÖSTERGÖTLANDS LÄN</t>
        </is>
      </c>
      <c r="G41" t="inlineStr">
        <is>
          <t>MJÖLBY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27232-2025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45812</v>
      </c>
      <c r="E42" s="1" t="n">
        <v>46324</v>
      </c>
      <c r="F42" t="inlineStr">
        <is>
          <t>ÖSTERGÖTLANDS LÄN</t>
        </is>
      </c>
      <c r="G42" t="inlineStr">
        <is>
          <t>MJÖLBY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45261</v>
      </c>
      <c r="E43" s="1" t="n">
        <v>46324</v>
      </c>
      <c r="F43" t="inlineStr">
        <is>
          <t>ÖSTERGÖTLANDS LÄN</t>
        </is>
      </c>
      <c r="G43" t="inlineStr">
        <is>
          <t>MJÖLBY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45819</v>
      </c>
      <c r="E44" s="1" t="n">
        <v>46324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46324</v>
      </c>
      <c r="F45" t="inlineStr">
        <is>
          <t>ÖSTERGÖTLANDS LÄN</t>
        </is>
      </c>
      <c r="G45" t="inlineStr">
        <is>
          <t>MJÖLBY</t>
        </is>
      </c>
      <c r="H45" t="inlineStr">
        <is>
          <t>Allmännings- och besparingsskogar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50886-2024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46324</v>
      </c>
      <c r="F46" t="inlineStr">
        <is>
          <t>ÖSTERGÖTLANDS LÄN</t>
        </is>
      </c>
      <c r="G46" t="inlineStr">
        <is>
          <t>MJÖLBY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45009</v>
      </c>
      <c r="E47" s="1" t="n">
        <v>46324</v>
      </c>
      <c r="F47" t="inlineStr">
        <is>
          <t>ÖSTERGÖTLANDS LÄN</t>
        </is>
      </c>
      <c r="G47" t="inlineStr">
        <is>
          <t>MJÖLBY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45793</v>
      </c>
      <c r="E48" s="1" t="n">
        <v>46324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42042-2023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45177</v>
      </c>
      <c r="E49" s="1" t="n">
        <v>46324</v>
      </c>
      <c r="F49" t="inlineStr">
        <is>
          <t>ÖSTERGÖTLANDS LÄN</t>
        </is>
      </c>
      <c r="G49" t="inlineStr">
        <is>
          <t>MJÖLBY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45834</v>
      </c>
      <c r="E50" s="1" t="n">
        <v>46324</v>
      </c>
      <c r="F50" t="inlineStr">
        <is>
          <t>ÖSTERGÖTLANDS LÄN</t>
        </is>
      </c>
      <c r="G50" t="inlineStr">
        <is>
          <t>MJÖLBY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45834</v>
      </c>
      <c r="E51" s="1" t="n">
        <v>46324</v>
      </c>
      <c r="F51" t="inlineStr">
        <is>
          <t>ÖSTERGÖTLANDS LÄN</t>
        </is>
      </c>
      <c r="G51" t="inlineStr">
        <is>
          <t>MJÖLBY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43026-2025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46324</v>
      </c>
      <c r="F52" t="inlineStr">
        <is>
          <t>ÖSTERGÖTLANDS LÄN</t>
        </is>
      </c>
      <c r="G52" t="inlineStr">
        <is>
          <t>MJÖLBY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46324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46324</v>
      </c>
      <c r="F54" t="inlineStr">
        <is>
          <t>ÖSTERGÖTLANDS LÄN</t>
        </is>
      </c>
      <c r="G54" t="inlineStr">
        <is>
          <t>MJÖLBY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45924</v>
      </c>
      <c r="E55" s="1" t="n">
        <v>46324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46324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46324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45282</v>
      </c>
      <c r="E58" s="1" t="n">
        <v>46324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46324</v>
      </c>
      <c r="F59" t="inlineStr">
        <is>
          <t>ÖSTERGÖTLANDS LÄN</t>
        </is>
      </c>
      <c r="G59" t="inlineStr">
        <is>
          <t>MJÖLBY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46324</v>
      </c>
      <c r="F60" t="inlineStr">
        <is>
          <t>ÖSTERGÖTLANDS LÄN</t>
        </is>
      </c>
      <c r="G60" t="inlineStr">
        <is>
          <t>MJÖLBY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46324</v>
      </c>
      <c r="F61" t="inlineStr">
        <is>
          <t>ÖSTERGÖTLANDS LÄN</t>
        </is>
      </c>
      <c r="G61" t="inlineStr">
        <is>
          <t>MJÖLBY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46324</v>
      </c>
      <c r="F62" t="inlineStr">
        <is>
          <t>ÖSTERGÖTLANDS LÄN</t>
        </is>
      </c>
      <c r="G62" t="inlineStr">
        <is>
          <t>MJÖLBY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46324</v>
      </c>
      <c r="F63" t="inlineStr">
        <is>
          <t>ÖSTERGÖTLANDS LÄN</t>
        </is>
      </c>
      <c r="G63" t="inlineStr">
        <is>
          <t>MJÖLBY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59410-2022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44907</v>
      </c>
      <c r="E64" s="1" t="n">
        <v>46324</v>
      </c>
      <c r="F64" t="inlineStr">
        <is>
          <t>ÖSTERGÖTLANDS LÄN</t>
        </is>
      </c>
      <c r="G64" t="inlineStr">
        <is>
          <t>MJÖLBY</t>
        </is>
      </c>
      <c r="H64" t="inlineStr">
        <is>
          <t>Övriga Aktiebolag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59411-2022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44907</v>
      </c>
      <c r="E65" s="1" t="n">
        <v>46324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46324</v>
      </c>
      <c r="F66" t="inlineStr">
        <is>
          <t>ÖSTERGÖTLANDS LÄN</t>
        </is>
      </c>
      <c r="G66" t="inlineStr">
        <is>
          <t>MJÖLBY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34521-2024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45525</v>
      </c>
      <c r="E67" s="1" t="n">
        <v>46324</v>
      </c>
      <c r="F67" t="inlineStr">
        <is>
          <t>ÖSTERGÖTLANDS LÄN</t>
        </is>
      </c>
      <c r="G67" t="inlineStr">
        <is>
          <t>MJÖLBY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46324</v>
      </c>
      <c r="F68" t="inlineStr">
        <is>
          <t>ÖSTERGÖTLANDS LÄN</t>
        </is>
      </c>
      <c r="G68" t="inlineStr">
        <is>
          <t>MJÖLBY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46324</v>
      </c>
      <c r="F69" t="inlineStr">
        <is>
          <t>ÖSTERGÖTLANDS LÄN</t>
        </is>
      </c>
      <c r="G69" t="inlineStr">
        <is>
          <t>MJÖLBY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46324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46324</v>
      </c>
      <c r="F71" t="inlineStr">
        <is>
          <t>ÖSTERGÖTLANDS LÄN</t>
        </is>
      </c>
      <c r="G71" t="inlineStr">
        <is>
          <t>MJÖLBY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46324</v>
      </c>
      <c r="F72" t="inlineStr">
        <is>
          <t>ÖSTERGÖTLANDS LÄN</t>
        </is>
      </c>
      <c r="G72" t="inlineStr">
        <is>
          <t>MJÖLBY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45261</v>
      </c>
      <c r="E73" s="1" t="n">
        <v>46324</v>
      </c>
      <c r="F73" t="inlineStr">
        <is>
          <t>ÖSTERGÖTLANDS LÄN</t>
        </is>
      </c>
      <c r="G73" t="inlineStr">
        <is>
          <t>MJÖLBY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46324</v>
      </c>
      <c r="F74" t="inlineStr">
        <is>
          <t>ÖSTERGÖTLANDS LÄN</t>
        </is>
      </c>
      <c r="G74" t="inlineStr">
        <is>
          <t>MJÖLBY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46324</v>
      </c>
      <c r="F75" t="inlineStr">
        <is>
          <t>ÖSTERGÖTLANDS LÄN</t>
        </is>
      </c>
      <c r="G75" t="inlineStr">
        <is>
          <t>MJÖLBY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45407</v>
      </c>
      <c r="E76" s="1" t="n">
        <v>46324</v>
      </c>
      <c r="F76" t="inlineStr">
        <is>
          <t>ÖSTERGÖTLANDS LÄN</t>
        </is>
      </c>
      <c r="G76" t="inlineStr">
        <is>
          <t>MJÖLBY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44769-2025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45917</v>
      </c>
      <c r="E77" s="1" t="n">
        <v>46324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44770-2025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46324</v>
      </c>
      <c r="F78" t="inlineStr">
        <is>
          <t>ÖSTERGÖTLANDS LÄN</t>
        </is>
      </c>
      <c r="G78" t="inlineStr">
        <is>
          <t>MJÖLBY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46324</v>
      </c>
      <c r="F79" t="inlineStr">
        <is>
          <t>ÖSTERGÖTLANDS LÄN</t>
        </is>
      </c>
      <c r="G79" t="inlineStr">
        <is>
          <t>MJÖLBY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43012-2024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45567</v>
      </c>
      <c r="E80" s="1" t="n">
        <v>46324</v>
      </c>
      <c r="F80" t="inlineStr">
        <is>
          <t>ÖSTERGÖTLANDS LÄN</t>
        </is>
      </c>
      <c r="G80" t="inlineStr">
        <is>
          <t>MJÖLBY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46324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52655-2023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45225</v>
      </c>
      <c r="E82" s="1" t="n">
        <v>46324</v>
      </c>
      <c r="F82" t="inlineStr">
        <is>
          <t>ÖSTERGÖTLANDS LÄN</t>
        </is>
      </c>
      <c r="G82" t="inlineStr">
        <is>
          <t>MJÖLBY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72563-2021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46324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46324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45553</v>
      </c>
      <c r="E85" s="1" t="n">
        <v>46324</v>
      </c>
      <c r="F85" t="inlineStr">
        <is>
          <t>ÖSTERGÖTLANDS LÄN</t>
        </is>
      </c>
      <c r="G85" t="inlineStr">
        <is>
          <t>MJÖLBY</t>
        </is>
      </c>
      <c r="H85" t="inlineStr">
        <is>
          <t>Kyrkan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46324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46036</v>
      </c>
      <c r="E87" s="1" t="n">
        <v>46324</v>
      </c>
      <c r="F87" t="inlineStr">
        <is>
          <t>ÖSTERGÖTLANDS LÄN</t>
        </is>
      </c>
      <c r="G87" t="inlineStr">
        <is>
          <t>MJÖLBY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46324</v>
      </c>
      <c r="F88" t="inlineStr">
        <is>
          <t>ÖSTERGÖTLANDS LÄN</t>
        </is>
      </c>
      <c r="G88" t="inlineStr">
        <is>
          <t>MJÖLBY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46324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46324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46324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46324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46324</v>
      </c>
      <c r="F93" t="inlineStr">
        <is>
          <t>ÖSTERGÖTLANDS LÄN</t>
        </is>
      </c>
      <c r="G93" t="inlineStr">
        <is>
          <t>MJÖLBY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68095-2021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46324</v>
      </c>
      <c r="F94" t="inlineStr">
        <is>
          <t>ÖSTERGÖTLANDS LÄN</t>
        </is>
      </c>
      <c r="G94" t="inlineStr">
        <is>
          <t>MJÖLBY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46324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46324</v>
      </c>
      <c r="F96" t="inlineStr">
        <is>
          <t>ÖSTERGÖTLANDS LÄN</t>
        </is>
      </c>
      <c r="G96" t="inlineStr">
        <is>
          <t>MJÖLBY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44903</v>
      </c>
      <c r="E97" s="1" t="n">
        <v>46324</v>
      </c>
      <c r="F97" t="inlineStr">
        <is>
          <t>ÖSTERGÖTLANDS LÄN</t>
        </is>
      </c>
      <c r="G97" t="inlineStr">
        <is>
          <t>MJÖLBY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46324</v>
      </c>
      <c r="F98" t="inlineStr">
        <is>
          <t>ÖSTERGÖTLANDS LÄN</t>
        </is>
      </c>
      <c r="G98" t="inlineStr">
        <is>
          <t>MJÖLBY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46324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46324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45401</v>
      </c>
      <c r="E101" s="1" t="n">
        <v>46324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46324</v>
      </c>
      <c r="F102" t="inlineStr">
        <is>
          <t>ÖSTERGÖTLANDS LÄN</t>
        </is>
      </c>
      <c r="G102" t="inlineStr">
        <is>
          <t>MJÖLBY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46168</v>
      </c>
      <c r="E103" s="1" t="n">
        <v>46324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46324</v>
      </c>
      <c r="F104" t="inlineStr">
        <is>
          <t>ÖSTERGÖTLANDS LÄN</t>
        </is>
      </c>
      <c r="G104" t="inlineStr">
        <is>
          <t>MJÖLBY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45918-2024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46324</v>
      </c>
      <c r="F105" t="inlineStr">
        <is>
          <t>ÖSTERGÖTLANDS LÄN</t>
        </is>
      </c>
      <c r="G105" t="inlineStr">
        <is>
          <t>MJÖLBY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46324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46324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46324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46324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46174</v>
      </c>
      <c r="E110" s="1" t="n">
        <v>46324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46324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46174</v>
      </c>
      <c r="E112" s="1" t="n">
        <v>46324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46324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24903-2026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46174</v>
      </c>
      <c r="E114" s="1" t="n">
        <v>46324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46324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46324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46324</v>
      </c>
      <c r="F117" t="inlineStr">
        <is>
          <t>ÖSTERGÖTLANDS LÄN</t>
        </is>
      </c>
      <c r="G117" t="inlineStr">
        <is>
          <t>MJÖLBY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46324</v>
      </c>
      <c r="F118" t="inlineStr">
        <is>
          <t>ÖSTERGÖTLANDS LÄN</t>
        </is>
      </c>
      <c r="G118" t="inlineStr">
        <is>
          <t>MJÖLBY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46324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46324</v>
      </c>
      <c r="F120" t="inlineStr">
        <is>
          <t>ÖSTERGÖTLANDS LÄN</t>
        </is>
      </c>
      <c r="G120" t="inlineStr">
        <is>
          <t>MJÖLBY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46324</v>
      </c>
      <c r="F121" t="inlineStr">
        <is>
          <t>ÖSTERGÖTLANDS LÄN</t>
        </is>
      </c>
      <c r="G121" t="inlineStr">
        <is>
          <t>MJÖLBY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46324</v>
      </c>
      <c r="F122" t="inlineStr">
        <is>
          <t>ÖSTERGÖTLANDS LÄN</t>
        </is>
      </c>
      <c r="G122" t="inlineStr">
        <is>
          <t>MJÖLBY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46324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46324</v>
      </c>
      <c r="F124" t="inlineStr">
        <is>
          <t>ÖSTERGÖTLANDS LÄN</t>
        </is>
      </c>
      <c r="G124" t="inlineStr">
        <is>
          <t>MJÖLBY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27126-2026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46188</v>
      </c>
      <c r="E125" s="1" t="n">
        <v>46324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46324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45020</v>
      </c>
      <c r="E127" s="1" t="n">
        <v>46324</v>
      </c>
      <c r="F127" t="inlineStr">
        <is>
          <t>ÖSTERGÖTLANDS LÄN</t>
        </is>
      </c>
      <c r="G127" t="inlineStr">
        <is>
          <t>MJÖLBY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72558-2021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44546</v>
      </c>
      <c r="E128" s="1" t="n">
        <v>46324</v>
      </c>
      <c r="F128" t="inlineStr">
        <is>
          <t>ÖSTERGÖTLANDS LÄN</t>
        </is>
      </c>
      <c r="G128" t="inlineStr">
        <is>
          <t>MJÖLBY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46324</v>
      </c>
      <c r="F129" t="inlineStr">
        <is>
          <t>ÖSTERGÖTLANDS LÄN</t>
        </is>
      </c>
      <c r="G129" t="inlineStr">
        <is>
          <t>MJÖLBY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45293</v>
      </c>
      <c r="E130" s="1" t="n">
        <v>46324</v>
      </c>
      <c r="F130" t="inlineStr">
        <is>
          <t>ÖSTERGÖTLANDS LÄN</t>
        </is>
      </c>
      <c r="G130" t="inlineStr">
        <is>
          <t>MJÖLBY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64930-2023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46324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46324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46324</v>
      </c>
      <c r="F133" t="inlineStr">
        <is>
          <t>ÖSTERGÖTLANDS LÄN</t>
        </is>
      </c>
      <c r="G133" t="inlineStr">
        <is>
          <t>MJÖLBY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46197</v>
      </c>
      <c r="E134" s="1" t="n">
        <v>46324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46324</v>
      </c>
      <c r="F135" t="inlineStr">
        <is>
          <t>ÖSTERGÖTLANDS LÄN</t>
        </is>
      </c>
      <c r="G135" t="inlineStr">
        <is>
          <t>MJÖLBY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66977-2021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46324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46324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46324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46324</v>
      </c>
      <c r="F139" t="inlineStr">
        <is>
          <t>ÖSTERGÖTLANDS LÄN</t>
        </is>
      </c>
      <c r="G139" t="inlineStr">
        <is>
          <t>MJÖLBY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46324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Kyrkan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46324</v>
      </c>
      <c r="F141" t="inlineStr">
        <is>
          <t>ÖSTERGÖTLANDS LÄN</t>
        </is>
      </c>
      <c r="G141" t="inlineStr">
        <is>
          <t>MJÖLBY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46216</v>
      </c>
      <c r="E142" s="1" t="n">
        <v>46324</v>
      </c>
      <c r="F142" t="inlineStr">
        <is>
          <t>ÖSTERGÖTLANDS LÄN</t>
        </is>
      </c>
      <c r="G142" t="inlineStr">
        <is>
          <t>MJÖLBY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46324</v>
      </c>
      <c r="F143" t="inlineStr">
        <is>
          <t>ÖSTERGÖTLANDS LÄN</t>
        </is>
      </c>
      <c r="G143" t="inlineStr">
        <is>
          <t>MJÖLBY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46324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46324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46217</v>
      </c>
      <c r="E146" s="1" t="n">
        <v>46324</v>
      </c>
      <c r="F146" t="inlineStr">
        <is>
          <t>ÖSTERGÖTLANDS LÄN</t>
        </is>
      </c>
      <c r="G146" t="inlineStr">
        <is>
          <t>MJÖLBY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46324</v>
      </c>
      <c r="F147" t="inlineStr">
        <is>
          <t>ÖSTERGÖTLANDS LÄN</t>
        </is>
      </c>
      <c r="G147" t="inlineStr">
        <is>
          <t>MJÖLBY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46217</v>
      </c>
      <c r="E148" s="1" t="n">
        <v>46324</v>
      </c>
      <c r="F148" t="inlineStr">
        <is>
          <t>ÖSTERGÖTLANDS LÄN</t>
        </is>
      </c>
      <c r="G148" t="inlineStr">
        <is>
          <t>MJÖLBY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46324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46324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46324</v>
      </c>
      <c r="F151" t="inlineStr">
        <is>
          <t>ÖSTERGÖTLANDS LÄN</t>
        </is>
      </c>
      <c r="G151" t="inlineStr">
        <is>
          <t>MJÖLBY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46324</v>
      </c>
      <c r="F152" t="inlineStr">
        <is>
          <t>ÖSTERGÖTLANDS LÄN</t>
        </is>
      </c>
      <c r="G152" t="inlineStr">
        <is>
          <t>MJÖLBY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46324</v>
      </c>
      <c r="F153" t="inlineStr">
        <is>
          <t>ÖSTERGÖTLANDS LÄN</t>
        </is>
      </c>
      <c r="G153" t="inlineStr">
        <is>
          <t>MJÖLBY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45215</v>
      </c>
      <c r="E154" s="1" t="n">
        <v>46324</v>
      </c>
      <c r="F154" t="inlineStr">
        <is>
          <t>ÖSTERGÖTLANDS LÄN</t>
        </is>
      </c>
      <c r="G154" t="inlineStr">
        <is>
          <t>MJÖLBY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18517-2026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46127</v>
      </c>
      <c r="E155" s="1" t="n">
        <v>46324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46324</v>
      </c>
      <c r="F156" t="inlineStr">
        <is>
          <t>ÖSTERGÖTLANDS LÄN</t>
        </is>
      </c>
      <c r="G156" t="inlineStr">
        <is>
          <t>MJÖLBY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38278-2024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45545</v>
      </c>
      <c r="E157" s="1" t="n">
        <v>46324</v>
      </c>
      <c r="F157" t="inlineStr">
        <is>
          <t>ÖSTERGÖTLANDS LÄN</t>
        </is>
      </c>
      <c r="G157" t="inlineStr">
        <is>
          <t>MJÖLBY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46324</v>
      </c>
      <c r="F158" t="inlineStr">
        <is>
          <t>ÖSTERGÖTLANDS LÄN</t>
        </is>
      </c>
      <c r="G158" t="inlineStr">
        <is>
          <t>MJÖLBY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46324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46324</v>
      </c>
      <c r="F160" t="inlineStr">
        <is>
          <t>ÖSTERGÖTLANDS LÄN</t>
        </is>
      </c>
      <c r="G160" t="inlineStr">
        <is>
          <t>MJÖLBY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46324</v>
      </c>
      <c r="F161" t="inlineStr">
        <is>
          <t>ÖSTERGÖTLANDS LÄN</t>
        </is>
      </c>
      <c r="G161" t="inlineStr">
        <is>
          <t>MJÖLBY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28131-2026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46324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46324</v>
      </c>
      <c r="F163" t="inlineStr">
        <is>
          <t>ÖSTERGÖTLANDS LÄN</t>
        </is>
      </c>
      <c r="G163" t="inlineStr">
        <is>
          <t>MJÖLBY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46324</v>
      </c>
      <c r="F164" t="inlineStr">
        <is>
          <t>ÖSTERGÖTLANDS LÄN</t>
        </is>
      </c>
      <c r="G164" t="inlineStr">
        <is>
          <t>MJÖLBY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46324</v>
      </c>
      <c r="F165" t="inlineStr">
        <is>
          <t>ÖSTERGÖTLANDS LÄN</t>
        </is>
      </c>
      <c r="G165" t="inlineStr">
        <is>
          <t>MJÖLBY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46324</v>
      </c>
      <c r="F166" t="inlineStr">
        <is>
          <t>ÖSTERGÖTLANDS LÄN</t>
        </is>
      </c>
      <c r="G166" t="inlineStr">
        <is>
          <t>MJÖLBY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46237</v>
      </c>
      <c r="E167" s="1" t="n">
        <v>46324</v>
      </c>
      <c r="F167" t="inlineStr">
        <is>
          <t>ÖSTERGÖTLANDS LÄN</t>
        </is>
      </c>
      <c r="G167" t="inlineStr">
        <is>
          <t>MJÖLBY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46324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46324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46324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44663</v>
      </c>
      <c r="E171" s="1" t="n">
        <v>46324</v>
      </c>
      <c r="F171" t="inlineStr">
        <is>
          <t>ÖSTERGÖTLANDS LÄN</t>
        </is>
      </c>
      <c r="G171" t="inlineStr">
        <is>
          <t>MJÖLBY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46324</v>
      </c>
      <c r="F172" t="inlineStr">
        <is>
          <t>ÖSTERGÖTLANDS LÄN</t>
        </is>
      </c>
      <c r="G172" t="inlineStr">
        <is>
          <t>MJÖLBY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46286</v>
      </c>
      <c r="E173" s="1" t="n">
        <v>46324</v>
      </c>
      <c r="F173" t="inlineStr">
        <is>
          <t>ÖSTERGÖTLANDS LÄN</t>
        </is>
      </c>
      <c r="G173" t="inlineStr">
        <is>
          <t>MJÖLBY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46324</v>
      </c>
      <c r="F174" t="inlineStr">
        <is>
          <t>ÖSTERGÖTLANDS LÄN</t>
        </is>
      </c>
      <c r="G174" t="inlineStr">
        <is>
          <t>MJÖLBY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46324</v>
      </c>
      <c r="F175" t="inlineStr">
        <is>
          <t>ÖSTERGÖTLANDS LÄN</t>
        </is>
      </c>
      <c r="G175" t="inlineStr">
        <is>
          <t>MJÖLBY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45221</v>
      </c>
      <c r="E176" s="1" t="n">
        <v>46324</v>
      </c>
      <c r="F176" t="inlineStr">
        <is>
          <t>ÖSTERGÖTLANDS LÄN</t>
        </is>
      </c>
      <c r="G176" t="inlineStr">
        <is>
          <t>MJÖLBY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46324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46324</v>
      </c>
      <c r="F178" t="inlineStr">
        <is>
          <t>ÖSTERGÖTLANDS LÄN</t>
        </is>
      </c>
      <c r="G178" t="inlineStr">
        <is>
          <t>MJÖLBY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46324</v>
      </c>
      <c r="F179" t="inlineStr">
        <is>
          <t>ÖSTERGÖTLANDS LÄN</t>
        </is>
      </c>
      <c r="G179" t="inlineStr">
        <is>
          <t>MJÖLBY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44971</v>
      </c>
      <c r="E180" s="1" t="n">
        <v>46324</v>
      </c>
      <c r="F180" t="inlineStr">
        <is>
          <t>ÖSTERGÖTLANDS LÄN</t>
        </is>
      </c>
      <c r="G180" t="inlineStr">
        <is>
          <t>MJÖLBY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46324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46139</v>
      </c>
      <c r="E182" s="1" t="n">
        <v>46324</v>
      </c>
      <c r="F182" t="inlineStr">
        <is>
          <t>ÖSTERGÖTLANDS LÄN</t>
        </is>
      </c>
      <c r="G182" t="inlineStr">
        <is>
          <t>MJÖLBY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44768</v>
      </c>
      <c r="E183" s="1" t="n">
        <v>46324</v>
      </c>
      <c r="F183" t="inlineStr">
        <is>
          <t>ÖSTERGÖTLANDS LÄN</t>
        </is>
      </c>
      <c r="G183" t="inlineStr">
        <is>
          <t>MJÖLBY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46290</v>
      </c>
      <c r="E184" s="1" t="n">
        <v>46324</v>
      </c>
      <c r="F184" t="inlineStr">
        <is>
          <t>ÖSTERGÖTLANDS LÄN</t>
        </is>
      </c>
      <c r="G184" t="inlineStr">
        <is>
          <t>MJÖLBY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46324</v>
      </c>
      <c r="F185" t="inlineStr">
        <is>
          <t>ÖSTERGÖTLANDS LÄN</t>
        </is>
      </c>
      <c r="G185" t="inlineStr">
        <is>
          <t>MJÖLBY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46324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Kommuner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46324</v>
      </c>
      <c r="F187" t="inlineStr">
        <is>
          <t>ÖSTERGÖTLANDS LÄN</t>
        </is>
      </c>
      <c r="G187" t="inlineStr">
        <is>
          <t>MJÖLBY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63449-2023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45273</v>
      </c>
      <c r="E188" s="1" t="n">
        <v>46324</v>
      </c>
      <c r="F188" t="inlineStr">
        <is>
          <t>ÖSTERGÖTLANDS LÄN</t>
        </is>
      </c>
      <c r="G188" t="inlineStr">
        <is>
          <t>MJÖLBY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46324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45681</v>
      </c>
      <c r="E190" s="1" t="n">
        <v>46324</v>
      </c>
      <c r="F190" t="inlineStr">
        <is>
          <t>ÖSTERGÖTLANDS LÄN</t>
        </is>
      </c>
      <c r="G190" t="inlineStr">
        <is>
          <t>MJÖLBY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46324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46253</v>
      </c>
      <c r="E192" s="1" t="n">
        <v>46324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46324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Sveaskog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46324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Sveaskog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46324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46324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46324</v>
      </c>
      <c r="F197" t="inlineStr">
        <is>
          <t>ÖSTERGÖTLANDS LÄN</t>
        </is>
      </c>
      <c r="G197" t="inlineStr">
        <is>
          <t>MJÖLBY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46324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46258</v>
      </c>
      <c r="E199" s="1" t="n">
        <v>46324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46324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46303</v>
      </c>
      <c r="E201" s="1" t="n">
        <v>46324</v>
      </c>
      <c r="F201" t="inlineStr">
        <is>
          <t>ÖSTERGÖTLANDS LÄN</t>
        </is>
      </c>
      <c r="G201" t="inlineStr">
        <is>
          <t>MJÖLBY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46302</v>
      </c>
      <c r="E202" s="1" t="n">
        <v>46324</v>
      </c>
      <c r="F202" t="inlineStr">
        <is>
          <t>ÖSTERGÖTLANDS LÄN</t>
        </is>
      </c>
      <c r="G202" t="inlineStr">
        <is>
          <t>MJÖLBY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44936</v>
      </c>
      <c r="E203" s="1" t="n">
        <v>46324</v>
      </c>
      <c r="F203" t="inlineStr">
        <is>
          <t>ÖSTERGÖTLANDS LÄN</t>
        </is>
      </c>
      <c r="G203" t="inlineStr">
        <is>
          <t>MJÖLBY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46324</v>
      </c>
      <c r="F204" t="inlineStr">
        <is>
          <t>ÖSTERGÖTLANDS LÄN</t>
        </is>
      </c>
      <c r="G204" t="inlineStr">
        <is>
          <t>MJÖLBY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46324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45370</v>
      </c>
      <c r="E206" s="1" t="n">
        <v>46324</v>
      </c>
      <c r="F206" t="inlineStr">
        <is>
          <t>ÖSTERGÖTLANDS LÄN</t>
        </is>
      </c>
      <c r="G206" t="inlineStr">
        <is>
          <t>MJÖLBY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46267</v>
      </c>
      <c r="E207" s="1" t="n">
        <v>46324</v>
      </c>
      <c r="F207" t="inlineStr">
        <is>
          <t>ÖSTERGÖTLANDS LÄN</t>
        </is>
      </c>
      <c r="G207" t="inlineStr">
        <is>
          <t>MJÖLBY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46267</v>
      </c>
      <c r="E208" s="1" t="n">
        <v>46324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46324</v>
      </c>
      <c r="F209" t="inlineStr">
        <is>
          <t>ÖSTERGÖTLANDS LÄN</t>
        </is>
      </c>
      <c r="G209" t="inlineStr">
        <is>
          <t>MJÖLBY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45681</v>
      </c>
      <c r="E210" s="1" t="n">
        <v>46324</v>
      </c>
      <c r="F210" t="inlineStr">
        <is>
          <t>ÖSTERGÖTLANDS LÄN</t>
        </is>
      </c>
      <c r="G210" t="inlineStr">
        <is>
          <t>MJÖLBY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46316</v>
      </c>
      <c r="E211" s="1" t="n">
        <v>46324</v>
      </c>
      <c r="F211" t="inlineStr">
        <is>
          <t>ÖSTERGÖTLANDS LÄN</t>
        </is>
      </c>
      <c r="G211" t="inlineStr">
        <is>
          <t>MJÖLBY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46324</v>
      </c>
      <c r="F212" t="inlineStr">
        <is>
          <t>ÖSTERGÖTLANDS LÄN</t>
        </is>
      </c>
      <c r="G212" t="inlineStr">
        <is>
          <t>MJÖLBY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46324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46274</v>
      </c>
      <c r="E214" s="1" t="n">
        <v>46324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Kyrkan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46324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46324</v>
      </c>
      <c r="F216" t="inlineStr">
        <is>
          <t>ÖSTERGÖTLANDS LÄN</t>
        </is>
      </c>
      <c r="G216" t="inlineStr">
        <is>
          <t>MJÖLBY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45301</v>
      </c>
      <c r="E217" s="1" t="n">
        <v>46324</v>
      </c>
      <c r="F217" t="inlineStr">
        <is>
          <t>ÖSTERGÖTLANDS LÄN</t>
        </is>
      </c>
      <c r="G217" t="inlineStr">
        <is>
          <t>MJÖLBY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46324</v>
      </c>
      <c r="F218" t="inlineStr">
        <is>
          <t>ÖSTERGÖTLANDS LÄN</t>
        </is>
      </c>
      <c r="G218" t="inlineStr">
        <is>
          <t>MJÖLBY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46324</v>
      </c>
      <c r="F219" t="inlineStr">
        <is>
          <t>ÖSTERGÖTLANDS LÄN</t>
        </is>
      </c>
      <c r="G219" t="inlineStr">
        <is>
          <t>MJÖLBY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46324</v>
      </c>
      <c r="F220" t="inlineStr">
        <is>
          <t>ÖSTERGÖTLANDS LÄN</t>
        </is>
      </c>
      <c r="G220" t="inlineStr">
        <is>
          <t>MJÖLBY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46324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45269</v>
      </c>
      <c r="E222" s="1" t="n">
        <v>46324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46324</v>
      </c>
      <c r="F223" t="inlineStr">
        <is>
          <t>ÖSTERGÖTLANDS LÄN</t>
        </is>
      </c>
      <c r="G223" t="inlineStr">
        <is>
          <t>MJÖLBY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37353-2026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46324</v>
      </c>
      <c r="F224" t="inlineStr">
        <is>
          <t>ÖSTERGÖTLANDS LÄN</t>
        </is>
      </c>
      <c r="G224" t="inlineStr">
        <is>
          <t>MJÖLBY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46324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45602</v>
      </c>
      <c r="E226" s="1" t="n">
        <v>46324</v>
      </c>
      <c r="F226" t="inlineStr">
        <is>
          <t>ÖSTERGÖTLANDS LÄN</t>
        </is>
      </c>
      <c r="G226" t="inlineStr">
        <is>
          <t>MJÖLBY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50896-2024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45602</v>
      </c>
      <c r="E227" s="1" t="n">
        <v>46324</v>
      </c>
      <c r="F227" t="inlineStr">
        <is>
          <t>ÖSTERGÖTLANDS LÄN</t>
        </is>
      </c>
      <c r="G227" t="inlineStr">
        <is>
          <t>MJÖLBY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44946</v>
      </c>
      <c r="E228" s="1" t="n">
        <v>46324</v>
      </c>
      <c r="F228" t="inlineStr">
        <is>
          <t>ÖSTERGÖTLANDS LÄN</t>
        </is>
      </c>
      <c r="G228" t="inlineStr">
        <is>
          <t>MJÖLBY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46279</v>
      </c>
      <c r="E229" s="1" t="n">
        <v>46324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Kyrkan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46324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46324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2026-10-29T03:13:56Z</dcterms:created>
  <dcterms:modified xmlns:dcterms="http://purl.org/dc/terms/" xmlns:xsi="http://www.w3.org/2001/XMLSchema-instance" xsi:type="dcterms:W3CDTF">2026-10-29T03:13:56Z</dcterms:modified>
</cp:coreProperties>
</file>