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46283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46283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51642-2021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44462</v>
      </c>
      <c r="E9" s="1" t="n">
        <v>46283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Vårstarr</t>
        </is>
      </c>
      <c r="W9">
        <f>HYPERLINK("https://klasma.github.io/Logging_0586/artfynd/A 51642-2021 artfynd.xlsx", "A 51642-2021")</f>
        <v/>
      </c>
      <c r="X9">
        <f>HYPERLINK("https://klasma.github.io/Logging_0586/kartor/A 51642-2021 karta.png", "A 51642-2021")</f>
        <v/>
      </c>
      <c r="Y9">
        <f>HYPERLINK("https://klasma.github.io/Logging_0586/kartor_geotiff/A 51642-2021 georefererad karta.tif", "A 51642-2021")</f>
        <v/>
      </c>
      <c r="AA9">
        <f>HYPERLINK("https://klasma.github.io/Logging_0586/klagomål/A 51642-2021 FSC-klagomål.docx", "A 51642-2021")</f>
        <v/>
      </c>
      <c r="AB9">
        <f>HYPERLINK("https://klasma.github.io/Logging_0586/klagomålsmail/A 51642-2021 FSC-klagomål mail.docx", "A 51642-2021")</f>
        <v/>
      </c>
      <c r="AC9">
        <f>HYPERLINK("https://klasma.github.io/Logging_0586/tillsyn/A 51642-2021 tillsynsbegäran.docx", "A 51642-2021")</f>
        <v/>
      </c>
      <c r="AD9">
        <f>HYPERLINK("https://klasma.github.io/Logging_0586/tillsynsmail/A 51642-2021 tillsynsbegäran mail.docx", "A 51642-2021")</f>
        <v/>
      </c>
    </row>
    <row r="10" ht="15" customHeight="1">
      <c r="A10" t="inlineStr">
        <is>
          <t>A 51642-2021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44462</v>
      </c>
      <c r="E10" s="1" t="n">
        <v>46283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Vårstarr</t>
        </is>
      </c>
      <c r="W10">
        <f>HYPERLINK("https://klasma.github.io/Logging_0586/artfynd/A 51642-2021 artfynd.xlsx", "A 51642-2021")</f>
        <v/>
      </c>
      <c r="X10">
        <f>HYPERLINK("https://klasma.github.io/Logging_0586/kartor/A 51642-2021 karta.png", "A 51642-2021")</f>
        <v/>
      </c>
      <c r="Y10">
        <f>HYPERLINK("https://klasma.github.io/Logging_0586/kartor_geotiff/A 51642-2021 georefererad karta.tif", "A 51642-2021")</f>
        <v/>
      </c>
      <c r="AA10">
        <f>HYPERLINK("https://klasma.github.io/Logging_0586/klagomål/A 51642-2021 FSC-klagomål.docx", "A 51642-2021")</f>
        <v/>
      </c>
      <c r="AB10">
        <f>HYPERLINK("https://klasma.github.io/Logging_0586/klagomålsmail/A 51642-2021 FSC-klagomål mail.docx", "A 51642-2021")</f>
        <v/>
      </c>
      <c r="AC10">
        <f>HYPERLINK("https://klasma.github.io/Logging_0586/tillsyn/A 51642-2021 tillsynsbegäran.docx", "A 51642-2021")</f>
        <v/>
      </c>
      <c r="AD10">
        <f>HYPERLINK("https://klasma.github.io/Logging_0586/tillsynsmail/A 51642-2021 tillsynsbegäran mail.docx", "A 51642-2021")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46283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46283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46283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46283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1</v>
      </c>
      <c r="V14" s="2" t="inlineStr">
        <is>
          <t>Springkorn</t>
        </is>
      </c>
      <c r="W14">
        <f>HYPERLINK("https://klasma.github.io/Logging_0586/artfynd/A 50403-2022 artfynd.xlsx", "A 50403-2022")</f>
        <v/>
      </c>
      <c r="X14">
        <f>HYPERLINK("https://klasma.github.io/Logging_0586/kartor/A 50403-2022 karta.png", "A 50403-2022")</f>
        <v/>
      </c>
      <c r="Y14">
        <f>HYPERLINK("https://klasma.github.io/Logging_0586/kartor_geotiff/A 50403-2022 georefererad karta.tif", "A 50403-2022")</f>
        <v/>
      </c>
      <c r="AA14">
        <f>HYPERLINK("https://klasma.github.io/Logging_0586/klagomål/A 50403-2022 FSC-klagomål.docx", "A 50403-2022")</f>
        <v/>
      </c>
      <c r="AB14">
        <f>HYPERLINK("https://klasma.github.io/Logging_0586/klagomålsmail/A 50403-2022 FSC-klagomål mail.docx", "A 50403-2022")</f>
        <v/>
      </c>
      <c r="AC14">
        <f>HYPERLINK("https://klasma.github.io/Logging_0586/tillsyn/A 50403-2022 tillsynsbegäran.docx", "A 50403-2022")</f>
        <v/>
      </c>
      <c r="AD14">
        <f>HYPERLINK("https://klasma.github.io/Logging_0586/tillsynsmail/A 50403-2022 tillsynsbegäran mail.docx", "A 50403-2022")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46283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46283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34869-2026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46255</v>
      </c>
      <c r="E17" s="1" t="n">
        <v>46283</v>
      </c>
      <c r="F17" t="inlineStr">
        <is>
          <t>ÖSTERGÖTLANDS LÄN</t>
        </is>
      </c>
      <c r="G17" t="inlineStr">
        <is>
          <t>MJÖLBY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Backsippa</t>
        </is>
      </c>
      <c r="W17">
        <f>HYPERLINK("https://klasma.github.io/Logging_0586/artfynd/A 34869-2026 artfynd.xlsx", "A 34869-2026")</f>
        <v/>
      </c>
      <c r="X17">
        <f>HYPERLINK("https://klasma.github.io/Logging_0586/kartor/A 34869-2026 karta.png", "A 34869-2026")</f>
        <v/>
      </c>
      <c r="Y17">
        <f>HYPERLINK("https://klasma.github.io/Logging_0586/kartor_geotiff/A 34869-2026 georefererad karta.tif", "A 34869-2026")</f>
        <v/>
      </c>
      <c r="AA17">
        <f>HYPERLINK("https://klasma.github.io/Logging_0586/klagomål/A 34869-2026 FSC-klagomål.docx", "A 34869-2026")</f>
        <v/>
      </c>
      <c r="AB17">
        <f>HYPERLINK("https://klasma.github.io/Logging_0586/klagomålsmail/A 34869-2026 FSC-klagomål mail.docx", "A 34869-2026")</f>
        <v/>
      </c>
      <c r="AC17">
        <f>HYPERLINK("https://klasma.github.io/Logging_0586/tillsyn/A 34869-2026 tillsynsbegäran.docx", "A 34869-2026")</f>
        <v/>
      </c>
      <c r="AD17">
        <f>HYPERLINK("https://klasma.github.io/Logging_0586/tillsynsmail/A 34869-2026 tillsynsbegäran mail.docx", "A 34869-2026")</f>
        <v/>
      </c>
    </row>
    <row r="18" ht="15" customHeight="1">
      <c r="A18" t="inlineStr">
        <is>
          <t>A 62852-2025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46283</v>
      </c>
      <c r="F18" t="inlineStr">
        <is>
          <t>ÖSTERGÖTLANDS LÄN</t>
        </is>
      </c>
      <c r="G18" t="inlineStr">
        <is>
          <t>MJÖLBY</t>
        </is>
      </c>
      <c r="H18" t="inlineStr">
        <is>
          <t>Kyrkan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HYPERLINK("https://klasma.github.io/Logging_0586/artfynd/A 62852-2025 artfynd.xlsx", "A 62852-2025")</f>
        <v/>
      </c>
      <c r="X18">
        <f>HYPERLINK("https://klasma.github.io/Logging_0586/kartor/A 62852-2025 karta.png", "A 62852-2025")</f>
        <v/>
      </c>
      <c r="Y18">
        <f>HYPERLINK("https://klasma.github.io/Logging_0586/kartor_geotiff/A 62852-2025 georefererad karta.tif", "A 62852-2025")</f>
        <v/>
      </c>
      <c r="AA18">
        <f>HYPERLINK("https://klasma.github.io/Logging_0586/klagomål/A 62852-2025 FSC-klagomål.docx", "A 62852-2025")</f>
        <v/>
      </c>
      <c r="AB18">
        <f>HYPERLINK("https://klasma.github.io/Logging_0586/klagomålsmail/A 62852-2025 FSC-klagomål mail.docx", "A 62852-2025")</f>
        <v/>
      </c>
      <c r="AC18">
        <f>HYPERLINK("https://klasma.github.io/Logging_0586/tillsyn/A 62852-2025 tillsynsbegäran.docx", "A 62852-2025")</f>
        <v/>
      </c>
      <c r="AD18">
        <f>HYPERLINK("https://klasma.github.io/Logging_0586/tillsynsmail/A 62852-2025 tillsynsbegäran mail.docx", "A 62852-2025")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46283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32554-2026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46283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Purpurknipprot</t>
        </is>
      </c>
      <c r="W20">
        <f>HYPERLINK("https://klasma.github.io/Logging_0586/artfynd/A 32554-2026 artfynd.xlsx", "A 32554-2026")</f>
        <v/>
      </c>
      <c r="X20">
        <f>HYPERLINK("https://klasma.github.io/Logging_0586/kartor/A 32554-2026 karta.png", "A 32554-2026")</f>
        <v/>
      </c>
      <c r="Y20">
        <f>HYPERLINK("https://klasma.github.io/Logging_0586/kartor_geotiff/A 32554-2026 georefererad karta.tif", "A 32554-2026")</f>
        <v/>
      </c>
      <c r="AA20">
        <f>HYPERLINK("https://klasma.github.io/Logging_0586/klagomål/A 32554-2026 FSC-klagomål.docx", "A 32554-2026")</f>
        <v/>
      </c>
      <c r="AB20">
        <f>HYPERLINK("https://klasma.github.io/Logging_0586/klagomålsmail/A 32554-2026 FSC-klagomål mail.docx", "A 32554-2026")</f>
        <v/>
      </c>
      <c r="AC20">
        <f>HYPERLINK("https://klasma.github.io/Logging_0586/tillsyn/A 32554-2026 tillsynsbegäran.docx", "A 32554-2026")</f>
        <v/>
      </c>
      <c r="AD20">
        <f>HYPERLINK("https://klasma.github.io/Logging_0586/tillsynsmail/A 32554-2026 tillsynsbegäran mail.docx", "A 32554-2026")</f>
        <v/>
      </c>
    </row>
    <row r="21" ht="15" customHeight="1">
      <c r="A21" t="inlineStr">
        <is>
          <t>A 13567-2025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46283</v>
      </c>
      <c r="F21" t="inlineStr">
        <is>
          <t>ÖSTERGÖTLANDS LÄN</t>
        </is>
      </c>
      <c r="G21" t="inlineStr">
        <is>
          <t>MJÖLBY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Klubbsprötad bastardsvärmare</t>
        </is>
      </c>
      <c r="W21">
        <f>HYPERLINK("https://klasma.github.io/Logging_0586/artfynd/A 13567-2025 artfynd.xlsx", "A 13567-2025")</f>
        <v/>
      </c>
      <c r="X21">
        <f>HYPERLINK("https://klasma.github.io/Logging_0586/kartor/A 13567-2025 karta.png", "A 13567-2025")</f>
        <v/>
      </c>
      <c r="Y21">
        <f>HYPERLINK("https://klasma.github.io/Logging_0586/kartor_geotiff/A 13567-2025 georefererad karta.tif", "A 13567-2025")</f>
        <v/>
      </c>
      <c r="AA21">
        <f>HYPERLINK("https://klasma.github.io/Logging_0586/klagomål/A 13567-2025 FSC-klagomål.docx", "A 13567-2025")</f>
        <v/>
      </c>
      <c r="AB21">
        <f>HYPERLINK("https://klasma.github.io/Logging_0586/klagomålsmail/A 13567-2025 FSC-klagomål mail.docx", "A 13567-2025")</f>
        <v/>
      </c>
      <c r="AC21">
        <f>HYPERLINK("https://klasma.github.io/Logging_0586/tillsyn/A 13567-2025 tillsynsbegäran.docx", "A 13567-2025")</f>
        <v/>
      </c>
      <c r="AD21">
        <f>HYPERLINK("https://klasma.github.io/Logging_0586/tillsynsmail/A 13567-2025 tillsynsbegäran mail.docx", "A 13567-2025")</f>
        <v/>
      </c>
    </row>
    <row r="22" ht="15" customHeight="1">
      <c r="A22" t="inlineStr">
        <is>
          <t>A 22327-2024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46283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HYPERLINK("https://klasma.github.io/Logging_0586/artfynd/A 22327-2024 artfynd.xlsx", "A 22327-2024")</f>
        <v/>
      </c>
      <c r="X22">
        <f>HYPERLINK("https://klasma.github.io/Logging_0586/kartor/A 22327-2024 karta.png", "A 22327-2024")</f>
        <v/>
      </c>
      <c r="Y22">
        <f>HYPERLINK("https://klasma.github.io/Logging_0586/kartor_geotiff/A 22327-2024 georefererad karta.tif", "A 22327-2024")</f>
        <v/>
      </c>
      <c r="AA22">
        <f>HYPERLINK("https://klasma.github.io/Logging_0586/klagomål/A 22327-2024 FSC-klagomål.docx", "A 22327-2024")</f>
        <v/>
      </c>
      <c r="AB22">
        <f>HYPERLINK("https://klasma.github.io/Logging_0586/klagomålsmail/A 22327-2024 FSC-klagomål mail.docx", "A 22327-2024")</f>
        <v/>
      </c>
      <c r="AC22">
        <f>HYPERLINK("https://klasma.github.io/Logging_0586/tillsyn/A 22327-2024 tillsynsbegäran.docx", "A 22327-2024")</f>
        <v/>
      </c>
      <c r="AD22">
        <f>HYPERLINK("https://klasma.github.io/Logging_0586/tillsynsmail/A 22327-2024 tillsynsbegäran mail.docx", "A 22327-2024")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46283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46283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46283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46283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46283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46283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46283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46283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46283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46283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46283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46283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46283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46283</v>
      </c>
      <c r="F36" t="inlineStr">
        <is>
          <t>ÖSTERGÖTLANDS LÄN</t>
        </is>
      </c>
      <c r="G36" t="inlineStr">
        <is>
          <t>MJÖLBY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46283</v>
      </c>
      <c r="F37" t="inlineStr">
        <is>
          <t>ÖSTERGÖTLANDS LÄN</t>
        </is>
      </c>
      <c r="G37" t="inlineStr">
        <is>
          <t>MJÖLBY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45221</v>
      </c>
      <c r="E38" s="1" t="n">
        <v>46283</v>
      </c>
      <c r="F38" t="inlineStr">
        <is>
          <t>ÖSTERGÖTLANDS LÄN</t>
        </is>
      </c>
      <c r="G38" t="inlineStr">
        <is>
          <t>MJÖLBY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53518-2022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46283</v>
      </c>
      <c r="F39" t="inlineStr">
        <is>
          <t>ÖSTERGÖTLANDS LÄN</t>
        </is>
      </c>
      <c r="G39" t="inlineStr">
        <is>
          <t>MJÖLBY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17707-2023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45037</v>
      </c>
      <c r="E40" s="1" t="n">
        <v>46283</v>
      </c>
      <c r="F40" t="inlineStr">
        <is>
          <t>ÖSTERGÖTLANDS LÄN</t>
        </is>
      </c>
      <c r="G40" t="inlineStr">
        <is>
          <t>MJÖLBY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44473</v>
      </c>
      <c r="E41" s="1" t="n">
        <v>46283</v>
      </c>
      <c r="F41" t="inlineStr">
        <is>
          <t>ÖSTERGÖTLANDS LÄN</t>
        </is>
      </c>
      <c r="G41" t="inlineStr">
        <is>
          <t>MJÖLBY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46283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46283</v>
      </c>
      <c r="F43" t="inlineStr">
        <is>
          <t>ÖSTERGÖTLANDS LÄN</t>
        </is>
      </c>
      <c r="G43" t="inlineStr">
        <is>
          <t>MJÖLBY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46283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65921-2021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46283</v>
      </c>
      <c r="F45" t="inlineStr">
        <is>
          <t>ÖSTERGÖTLANDS LÄN</t>
        </is>
      </c>
      <c r="G45" t="inlineStr">
        <is>
          <t>MJÖLBY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45208</v>
      </c>
      <c r="E46" s="1" t="n">
        <v>46283</v>
      </c>
      <c r="F46" t="inlineStr">
        <is>
          <t>ÖSTERGÖTLANDS LÄN</t>
        </is>
      </c>
      <c r="G46" t="inlineStr">
        <is>
          <t>MJÖLBY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39950-2024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45553</v>
      </c>
      <c r="E47" s="1" t="n">
        <v>46283</v>
      </c>
      <c r="F47" t="inlineStr">
        <is>
          <t>ÖSTERGÖTLANDS LÄN</t>
        </is>
      </c>
      <c r="G47" t="inlineStr">
        <is>
          <t>MJÖLBY</t>
        </is>
      </c>
      <c r="H47" t="inlineStr">
        <is>
          <t>Kyrkan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50570-2023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45217</v>
      </c>
      <c r="E48" s="1" t="n">
        <v>46283</v>
      </c>
      <c r="F48" t="inlineStr">
        <is>
          <t>ÖSTERGÖTLANDS LÄN</t>
        </is>
      </c>
      <c r="G48" t="inlineStr">
        <is>
          <t>MJÖLBY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10980-2024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46283</v>
      </c>
      <c r="F49" t="inlineStr">
        <is>
          <t>ÖSTERGÖTLANDS LÄN</t>
        </is>
      </c>
      <c r="G49" t="inlineStr">
        <is>
          <t>MJÖLBY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46283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43012-2024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45567</v>
      </c>
      <c r="E51" s="1" t="n">
        <v>46283</v>
      </c>
      <c r="F51" t="inlineStr">
        <is>
          <t>ÖSTERGÖTLANDS LÄN</t>
        </is>
      </c>
      <c r="G51" t="inlineStr">
        <is>
          <t>MJÖLBY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46283</v>
      </c>
      <c r="F52" t="inlineStr">
        <is>
          <t>ÖSTERGÖTLANDS LÄN</t>
        </is>
      </c>
      <c r="G52" t="inlineStr">
        <is>
          <t>MJÖLBY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60964-2023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45261</v>
      </c>
      <c r="E53" s="1" t="n">
        <v>46283</v>
      </c>
      <c r="F53" t="inlineStr">
        <is>
          <t>ÖSTERGÖTLANDS LÄN</t>
        </is>
      </c>
      <c r="G53" t="inlineStr">
        <is>
          <t>MJÖLBY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46283</v>
      </c>
      <c r="F54" t="inlineStr">
        <is>
          <t>ÖSTERGÖTLANDS LÄN</t>
        </is>
      </c>
      <c r="G54" t="inlineStr">
        <is>
          <t>MJÖLBY</t>
        </is>
      </c>
      <c r="H54" t="inlineStr">
        <is>
          <t>Kyrkan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45827</v>
      </c>
      <c r="E55" s="1" t="n">
        <v>46283</v>
      </c>
      <c r="F55" t="inlineStr">
        <is>
          <t>ÖSTERGÖTLANDS LÄN</t>
        </is>
      </c>
      <c r="G55" t="inlineStr">
        <is>
          <t>MJÖLBY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44936</v>
      </c>
      <c r="E56" s="1" t="n">
        <v>46283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46283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46283</v>
      </c>
      <c r="F58" t="inlineStr">
        <is>
          <t>ÖSTERGÖTLANDS LÄN</t>
        </is>
      </c>
      <c r="G58" t="inlineStr">
        <is>
          <t>MJÖLBY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46283</v>
      </c>
      <c r="F59" t="inlineStr">
        <is>
          <t>ÖSTERGÖTLANDS LÄN</t>
        </is>
      </c>
      <c r="G59" t="inlineStr">
        <is>
          <t>MJÖLBY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59234-2022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44904</v>
      </c>
      <c r="E60" s="1" t="n">
        <v>46283</v>
      </c>
      <c r="F60" t="inlineStr">
        <is>
          <t>ÖSTERGÖTLANDS LÄN</t>
        </is>
      </c>
      <c r="G60" t="inlineStr">
        <is>
          <t>MJÖLBY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46283</v>
      </c>
      <c r="F61" t="inlineStr">
        <is>
          <t>ÖSTERGÖTLANDS LÄN</t>
        </is>
      </c>
      <c r="G61" t="inlineStr">
        <is>
          <t>MJÖLBY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46079</v>
      </c>
      <c r="E62" s="1" t="n">
        <v>46283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44888</v>
      </c>
      <c r="E63" s="1" t="n">
        <v>46283</v>
      </c>
      <c r="F63" t="inlineStr">
        <is>
          <t>ÖSTERGÖTLANDS LÄN</t>
        </is>
      </c>
      <c r="G63" t="inlineStr">
        <is>
          <t>MJÖLBY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46283</v>
      </c>
      <c r="F64" t="inlineStr">
        <is>
          <t>ÖSTERGÖTLANDS LÄN</t>
        </is>
      </c>
      <c r="G64" t="inlineStr">
        <is>
          <t>MJÖLBY</t>
        </is>
      </c>
      <c r="H64" t="inlineStr">
        <is>
          <t>Sveaskog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46283</v>
      </c>
      <c r="F65" t="inlineStr">
        <is>
          <t>ÖSTERGÖTLANDS LÄN</t>
        </is>
      </c>
      <c r="G65" t="inlineStr">
        <is>
          <t>MJÖLBY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64930-2023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45282</v>
      </c>
      <c r="E66" s="1" t="n">
        <v>46283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45085</v>
      </c>
      <c r="E67" s="1" t="n">
        <v>46283</v>
      </c>
      <c r="F67" t="inlineStr">
        <is>
          <t>ÖSTERGÖTLANDS LÄN</t>
        </is>
      </c>
      <c r="G67" t="inlineStr">
        <is>
          <t>MJÖLBY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44810</v>
      </c>
      <c r="E68" s="1" t="n">
        <v>46283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46283</v>
      </c>
      <c r="F69" t="inlineStr">
        <is>
          <t>ÖSTERGÖTLANDS LÄN</t>
        </is>
      </c>
      <c r="G69" t="inlineStr">
        <is>
          <t>MJÖLBY</t>
        </is>
      </c>
      <c r="H69" t="inlineStr">
        <is>
          <t>Övriga Aktiebolag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46283</v>
      </c>
      <c r="F70" t="inlineStr">
        <is>
          <t>ÖSTERGÖTLANDS LÄN</t>
        </is>
      </c>
      <c r="G70" t="inlineStr">
        <is>
          <t>MJÖLBY</t>
        </is>
      </c>
      <c r="H70" t="inlineStr">
        <is>
          <t>Övriga Aktiebolag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44946</v>
      </c>
      <c r="E71" s="1" t="n">
        <v>46283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46283</v>
      </c>
      <c r="F72" t="inlineStr">
        <is>
          <t>ÖSTERGÖTLANDS LÄN</t>
        </is>
      </c>
      <c r="G72" t="inlineStr">
        <is>
          <t>MJÖLBY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46108</v>
      </c>
      <c r="E73" s="1" t="n">
        <v>46283</v>
      </c>
      <c r="F73" t="inlineStr">
        <is>
          <t>ÖSTERGÖTLANDS LÄN</t>
        </is>
      </c>
      <c r="G73" t="inlineStr">
        <is>
          <t>MJÖLBY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58415-2021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46283</v>
      </c>
      <c r="F74" t="inlineStr">
        <is>
          <t>ÖSTERGÖTLANDS LÄN</t>
        </is>
      </c>
      <c r="G74" t="inlineStr">
        <is>
          <t>MJÖLBY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16173-2026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46283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46283</v>
      </c>
      <c r="F76" t="inlineStr">
        <is>
          <t>ÖSTERGÖTLANDS LÄN</t>
        </is>
      </c>
      <c r="G76" t="inlineStr">
        <is>
          <t>MJÖLBY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51630-2021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44462</v>
      </c>
      <c r="E77" s="1" t="n">
        <v>46283</v>
      </c>
      <c r="F77" t="inlineStr">
        <is>
          <t>ÖSTERGÖTLANDS LÄN</t>
        </is>
      </c>
      <c r="G77" t="inlineStr">
        <is>
          <t>MJÖLBY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17699-2026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46121</v>
      </c>
      <c r="E78" s="1" t="n">
        <v>46283</v>
      </c>
      <c r="F78" t="inlineStr">
        <is>
          <t>ÖSTERGÖTLANDS LÄN</t>
        </is>
      </c>
      <c r="G78" t="inlineStr">
        <is>
          <t>MJÖLBY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46121</v>
      </c>
      <c r="E79" s="1" t="n">
        <v>46283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46283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18517-2026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46283</v>
      </c>
      <c r="F81" t="inlineStr">
        <is>
          <t>ÖSTERGÖTLANDS LÄN</t>
        </is>
      </c>
      <c r="G81" t="inlineStr">
        <is>
          <t>MJÖLBY</t>
        </is>
      </c>
      <c r="H81" t="inlineStr">
        <is>
          <t>Övriga Aktiebolag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63449-2023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45273</v>
      </c>
      <c r="E82" s="1" t="n">
        <v>46283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45681</v>
      </c>
      <c r="E83" s="1" t="n">
        <v>46283</v>
      </c>
      <c r="F83" t="inlineStr">
        <is>
          <t>ÖSTERGÖTLANDS LÄN</t>
        </is>
      </c>
      <c r="G83" t="inlineStr">
        <is>
          <t>MJÖLBY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46283</v>
      </c>
      <c r="F84" t="inlineStr">
        <is>
          <t>ÖSTERGÖTLANDS LÄN</t>
        </is>
      </c>
      <c r="G84" t="inlineStr">
        <is>
          <t>MJÖLBY</t>
        </is>
      </c>
      <c r="H84" t="inlineStr">
        <is>
          <t>Allmännings- och besparingsskogar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45892</v>
      </c>
      <c r="E85" s="1" t="n">
        <v>46283</v>
      </c>
      <c r="F85" t="inlineStr">
        <is>
          <t>ÖSTERGÖTLANDS LÄN</t>
        </is>
      </c>
      <c r="G85" t="inlineStr">
        <is>
          <t>MJÖLBY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46283</v>
      </c>
      <c r="F86" t="inlineStr">
        <is>
          <t>ÖSTERGÖTLANDS LÄN</t>
        </is>
      </c>
      <c r="G86" t="inlineStr">
        <is>
          <t>MJÖLBY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46283</v>
      </c>
      <c r="F87" t="inlineStr">
        <is>
          <t>ÖSTERGÖTLANDS LÄN</t>
        </is>
      </c>
      <c r="G87" t="inlineStr">
        <is>
          <t>MJÖLBY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46283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46283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41105-2025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46283</v>
      </c>
      <c r="F90" t="inlineStr">
        <is>
          <t>ÖSTERGÖTLANDS LÄN</t>
        </is>
      </c>
      <c r="G90" t="inlineStr">
        <is>
          <t>MJÖLBY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46283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46283</v>
      </c>
      <c r="F92" t="inlineStr">
        <is>
          <t>ÖSTERGÖTLANDS LÄN</t>
        </is>
      </c>
      <c r="G92" t="inlineStr">
        <is>
          <t>MJÖLBY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44971</v>
      </c>
      <c r="E93" s="1" t="n">
        <v>46283</v>
      </c>
      <c r="F93" t="inlineStr">
        <is>
          <t>ÖSTERGÖTLANDS LÄN</t>
        </is>
      </c>
      <c r="G93" t="inlineStr">
        <is>
          <t>MJÖLBY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46283</v>
      </c>
      <c r="F94" t="inlineStr">
        <is>
          <t>ÖSTERGÖTLANDS LÄN</t>
        </is>
      </c>
      <c r="G94" t="inlineStr">
        <is>
          <t>MJÖLBY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45924</v>
      </c>
      <c r="E95" s="1" t="n">
        <v>46283</v>
      </c>
      <c r="F95" t="inlineStr">
        <is>
          <t>ÖSTERGÖTLANDS LÄN</t>
        </is>
      </c>
      <c r="G95" t="inlineStr">
        <is>
          <t>MJÖLBY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45924</v>
      </c>
      <c r="E96" s="1" t="n">
        <v>46283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46283</v>
      </c>
      <c r="F97" t="inlineStr">
        <is>
          <t>ÖSTERGÖTLANDS LÄN</t>
        </is>
      </c>
      <c r="G97" t="inlineStr">
        <is>
          <t>MJÖLBY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46139</v>
      </c>
      <c r="E98" s="1" t="n">
        <v>46283</v>
      </c>
      <c r="F98" t="inlineStr">
        <is>
          <t>ÖSTERGÖTLANDS LÄN</t>
        </is>
      </c>
      <c r="G98" t="inlineStr">
        <is>
          <t>MJÖLBY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46283</v>
      </c>
      <c r="F99" t="inlineStr">
        <is>
          <t>ÖSTERGÖTLANDS LÄN</t>
        </is>
      </c>
      <c r="G99" t="inlineStr">
        <is>
          <t>MJÖLBY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60977-2023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45261</v>
      </c>
      <c r="E100" s="1" t="n">
        <v>46283</v>
      </c>
      <c r="F100" t="inlineStr">
        <is>
          <t>ÖSTERGÖTLANDS LÄN</t>
        </is>
      </c>
      <c r="G100" t="inlineStr">
        <is>
          <t>MJÖLBY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46283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46283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Kommuner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46283</v>
      </c>
      <c r="F103" t="inlineStr">
        <is>
          <t>ÖSTERGÖTLANDS LÄN</t>
        </is>
      </c>
      <c r="G103" t="inlineStr">
        <is>
          <t>MJÖLBY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46283</v>
      </c>
      <c r="F104" t="inlineStr">
        <is>
          <t>ÖSTERGÖTLANDS LÄN</t>
        </is>
      </c>
      <c r="G104" t="inlineStr">
        <is>
          <t>MJÖLBY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46283</v>
      </c>
      <c r="F105" t="inlineStr">
        <is>
          <t>ÖSTERGÖTLANDS LÄN</t>
        </is>
      </c>
      <c r="G105" t="inlineStr">
        <is>
          <t>MJÖLBY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46283</v>
      </c>
      <c r="F106" t="inlineStr">
        <is>
          <t>ÖSTERGÖTLANDS LÄN</t>
        </is>
      </c>
      <c r="G106" t="inlineStr">
        <is>
          <t>MJÖLBY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58800-2022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44903</v>
      </c>
      <c r="E107" s="1" t="n">
        <v>46283</v>
      </c>
      <c r="F107" t="inlineStr">
        <is>
          <t>ÖSTERGÖTLANDS LÄN</t>
        </is>
      </c>
      <c r="G107" t="inlineStr">
        <is>
          <t>MJÖLBY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46283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Kyrkan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45376</v>
      </c>
      <c r="E109" s="1" t="n">
        <v>46283</v>
      </c>
      <c r="F109" t="inlineStr">
        <is>
          <t>ÖSTERGÖTLANDS LÄN</t>
        </is>
      </c>
      <c r="G109" t="inlineStr">
        <is>
          <t>MJÖLBY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46283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59411-2022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44907</v>
      </c>
      <c r="E111" s="1" t="n">
        <v>46283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46283</v>
      </c>
      <c r="F112" t="inlineStr">
        <is>
          <t>ÖSTERGÖTLANDS LÄN</t>
        </is>
      </c>
      <c r="G112" t="inlineStr">
        <is>
          <t>MJÖLBY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46283</v>
      </c>
      <c r="F113" t="inlineStr">
        <is>
          <t>ÖSTERGÖTLANDS LÄN</t>
        </is>
      </c>
      <c r="G113" t="inlineStr">
        <is>
          <t>MJÖLBY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59410-2022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44907</v>
      </c>
      <c r="E114" s="1" t="n">
        <v>46283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46283</v>
      </c>
      <c r="F115" t="inlineStr">
        <is>
          <t>ÖSTERGÖTLANDS LÄN</t>
        </is>
      </c>
      <c r="G115" t="inlineStr">
        <is>
          <t>MJÖLBY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24139-2026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46283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45269</v>
      </c>
      <c r="E117" s="1" t="n">
        <v>46283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46283</v>
      </c>
      <c r="F118" t="inlineStr">
        <is>
          <t>ÖSTERGÖTLANDS LÄN</t>
        </is>
      </c>
      <c r="G118" t="inlineStr">
        <is>
          <t>MJÖLBY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46171</v>
      </c>
      <c r="E119" s="1" t="n">
        <v>46283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24457-2026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46283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24903-2026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46174</v>
      </c>
      <c r="E121" s="1" t="n">
        <v>46283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24894-2026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46283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46174</v>
      </c>
      <c r="E123" s="1" t="n">
        <v>46283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46283</v>
      </c>
      <c r="F124" t="inlineStr">
        <is>
          <t>ÖSTERGÖTLANDS LÄN</t>
        </is>
      </c>
      <c r="G124" t="inlineStr">
        <is>
          <t>MJÖLBY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24888-2026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46174</v>
      </c>
      <c r="E125" s="1" t="n">
        <v>46283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46283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46283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46283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46283</v>
      </c>
      <c r="F129" t="inlineStr">
        <is>
          <t>ÖSTERGÖTLANDS LÄN</t>
        </is>
      </c>
      <c r="G129" t="inlineStr">
        <is>
          <t>MJÖLBY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46283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46283</v>
      </c>
      <c r="F131" t="inlineStr">
        <is>
          <t>ÖSTERGÖTLANDS LÄN</t>
        </is>
      </c>
      <c r="G131" t="inlineStr">
        <is>
          <t>MJÖLBY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68095-2021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44526</v>
      </c>
      <c r="E132" s="1" t="n">
        <v>46283</v>
      </c>
      <c r="F132" t="inlineStr">
        <is>
          <t>ÖSTERGÖTLANDS LÄN</t>
        </is>
      </c>
      <c r="G132" t="inlineStr">
        <is>
          <t>MJÖLBY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27126-2026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46188</v>
      </c>
      <c r="E133" s="1" t="n">
        <v>46283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46283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46283</v>
      </c>
      <c r="F135" t="inlineStr">
        <is>
          <t>ÖSTERGÖTLANDS LÄN</t>
        </is>
      </c>
      <c r="G135" t="inlineStr">
        <is>
          <t>MJÖLBY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44770-2025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45917</v>
      </c>
      <c r="E136" s="1" t="n">
        <v>46283</v>
      </c>
      <c r="F136" t="inlineStr">
        <is>
          <t>ÖSTERGÖTLANDS LÄN</t>
        </is>
      </c>
      <c r="G136" t="inlineStr">
        <is>
          <t>MJÖLBY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44769-2025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45917</v>
      </c>
      <c r="E137" s="1" t="n">
        <v>46283</v>
      </c>
      <c r="F137" t="inlineStr">
        <is>
          <t>ÖSTERGÖTLANDS LÄN</t>
        </is>
      </c>
      <c r="G137" t="inlineStr">
        <is>
          <t>MJÖLBY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46283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46283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46283</v>
      </c>
      <c r="F140" t="inlineStr">
        <is>
          <t>ÖSTERGÖTLANDS LÄN</t>
        </is>
      </c>
      <c r="G140" t="inlineStr">
        <is>
          <t>MJÖLBY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46283</v>
      </c>
      <c r="F141" t="inlineStr">
        <is>
          <t>ÖSTERGÖTLANDS LÄN</t>
        </is>
      </c>
      <c r="G141" t="inlineStr">
        <is>
          <t>MJÖLBY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46283</v>
      </c>
      <c r="F142" t="inlineStr">
        <is>
          <t>ÖSTERGÖTLANDS LÄN</t>
        </is>
      </c>
      <c r="G142" t="inlineStr">
        <is>
          <t>MJÖLBY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46283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46283</v>
      </c>
      <c r="F144" t="inlineStr">
        <is>
          <t>ÖSTERGÖTLANDS LÄN</t>
        </is>
      </c>
      <c r="G144" t="inlineStr">
        <is>
          <t>MJÖLBY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46283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46283</v>
      </c>
      <c r="F146" t="inlineStr">
        <is>
          <t>ÖSTERGÖTLANDS LÄN</t>
        </is>
      </c>
      <c r="G146" t="inlineStr">
        <is>
          <t>MJÖLBY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46283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46283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46283</v>
      </c>
      <c r="F149" t="inlineStr">
        <is>
          <t>ÖSTERGÖTLANDS LÄN</t>
        </is>
      </c>
      <c r="G149" t="inlineStr">
        <is>
          <t>MJÖLBY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45979</v>
      </c>
      <c r="E150" s="1" t="n">
        <v>46283</v>
      </c>
      <c r="F150" t="inlineStr">
        <is>
          <t>ÖSTERGÖTLANDS LÄN</t>
        </is>
      </c>
      <c r="G150" t="inlineStr">
        <is>
          <t>MJÖLBY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46283</v>
      </c>
      <c r="F151" t="inlineStr">
        <is>
          <t>ÖSTERGÖTLANDS LÄN</t>
        </is>
      </c>
      <c r="G151" t="inlineStr">
        <is>
          <t>MJÖLBY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46283</v>
      </c>
      <c r="F152" t="inlineStr">
        <is>
          <t>ÖSTERGÖTLANDS LÄN</t>
        </is>
      </c>
      <c r="G152" t="inlineStr">
        <is>
          <t>MJÖLBY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46283</v>
      </c>
      <c r="F153" t="inlineStr">
        <is>
          <t>ÖSTERGÖTLANDS LÄN</t>
        </is>
      </c>
      <c r="G153" t="inlineStr">
        <is>
          <t>MJÖLBY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46283</v>
      </c>
      <c r="F154" t="inlineStr">
        <is>
          <t>ÖSTERGÖTLANDS LÄN</t>
        </is>
      </c>
      <c r="G154" t="inlineStr">
        <is>
          <t>MJÖLBY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46283</v>
      </c>
      <c r="F155" t="inlineStr">
        <is>
          <t>ÖSTERGÖTLANDS LÄN</t>
        </is>
      </c>
      <c r="G155" t="inlineStr">
        <is>
          <t>MJÖLBY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46283</v>
      </c>
      <c r="F156" t="inlineStr">
        <is>
          <t>ÖSTERGÖTLANDS LÄN</t>
        </is>
      </c>
      <c r="G156" t="inlineStr">
        <is>
          <t>MJÖLBY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45988</v>
      </c>
      <c r="E157" s="1" t="n">
        <v>46283</v>
      </c>
      <c r="F157" t="inlineStr">
        <is>
          <t>ÖSTERGÖTLANDS LÄN</t>
        </is>
      </c>
      <c r="G157" t="inlineStr">
        <is>
          <t>MJÖLBY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46253</v>
      </c>
      <c r="E158" s="1" t="n">
        <v>46283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46283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46283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34794-2026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46258</v>
      </c>
      <c r="E161" s="1" t="n">
        <v>46283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46216</v>
      </c>
      <c r="E162" s="1" t="n">
        <v>46283</v>
      </c>
      <c r="F162" t="inlineStr">
        <is>
          <t>ÖSTERGÖTLANDS LÄN</t>
        </is>
      </c>
      <c r="G162" t="inlineStr">
        <is>
          <t>MJÖLBY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46283</v>
      </c>
      <c r="F163" t="inlineStr">
        <is>
          <t>ÖSTERGÖTLANDS LÄN</t>
        </is>
      </c>
      <c r="G163" t="inlineStr">
        <is>
          <t>MJÖLBY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46283</v>
      </c>
      <c r="F164" t="inlineStr">
        <is>
          <t>ÖSTERGÖTLANDS LÄN</t>
        </is>
      </c>
      <c r="G164" t="inlineStr">
        <is>
          <t>MJÖLBY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46283</v>
      </c>
      <c r="F165" t="inlineStr">
        <is>
          <t>ÖSTERGÖTLANDS LÄN</t>
        </is>
      </c>
      <c r="G165" t="inlineStr">
        <is>
          <t>MJÖLBY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46283</v>
      </c>
      <c r="F166" t="inlineStr">
        <is>
          <t>ÖSTERGÖTLANDS LÄN</t>
        </is>
      </c>
      <c r="G166" t="inlineStr">
        <is>
          <t>MJÖLBY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46267</v>
      </c>
      <c r="E167" s="1" t="n">
        <v>46283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46283</v>
      </c>
      <c r="F168" t="inlineStr">
        <is>
          <t>ÖSTERGÖTLANDS LÄN</t>
        </is>
      </c>
      <c r="G168" t="inlineStr">
        <is>
          <t>MJÖLBY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46283</v>
      </c>
      <c r="F169" t="inlineStr">
        <is>
          <t>ÖSTERGÖTLANDS LÄN</t>
        </is>
      </c>
      <c r="G169" t="inlineStr">
        <is>
          <t>MJÖLBY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46283</v>
      </c>
      <c r="F170" t="inlineStr">
        <is>
          <t>ÖSTERGÖTLANDS LÄN</t>
        </is>
      </c>
      <c r="G170" t="inlineStr">
        <is>
          <t>MJÖLBY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46283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46007</v>
      </c>
      <c r="E172" s="1" t="n">
        <v>46283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50181-2023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46283</v>
      </c>
      <c r="F173" t="inlineStr">
        <is>
          <t>ÖSTERGÖTLANDS LÄN</t>
        </is>
      </c>
      <c r="G173" t="inlineStr">
        <is>
          <t>MJÖLBY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46253</v>
      </c>
      <c r="E174" s="1" t="n">
        <v>46283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46283</v>
      </c>
      <c r="F175" t="inlineStr">
        <is>
          <t>ÖSTERGÖTLANDS LÄN</t>
        </is>
      </c>
      <c r="G175" t="inlineStr">
        <is>
          <t>MJÖLBY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46274</v>
      </c>
      <c r="E176" s="1" t="n">
        <v>46283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Kyrkan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52655-2023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45225</v>
      </c>
      <c r="E177" s="1" t="n">
        <v>46283</v>
      </c>
      <c r="F177" t="inlineStr">
        <is>
          <t>ÖSTERGÖTLANDS LÄN</t>
        </is>
      </c>
      <c r="G177" t="inlineStr">
        <is>
          <t>MJÖLBY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46283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45446</v>
      </c>
      <c r="E179" s="1" t="n">
        <v>46283</v>
      </c>
      <c r="F179" t="inlineStr">
        <is>
          <t>ÖSTERGÖTLANDS LÄN</t>
        </is>
      </c>
      <c r="G179" t="inlineStr">
        <is>
          <t>MJÖLBY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46283</v>
      </c>
      <c r="F180" t="inlineStr">
        <is>
          <t>ÖSTERGÖTLANDS LÄN</t>
        </is>
      </c>
      <c r="G180" t="inlineStr">
        <is>
          <t>MJÖLBY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46283</v>
      </c>
      <c r="F181" t="inlineStr">
        <is>
          <t>ÖSTERGÖTLANDS LÄN</t>
        </is>
      </c>
      <c r="G181" t="inlineStr">
        <is>
          <t>MJÖLBY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46283</v>
      </c>
      <c r="F182" t="inlineStr">
        <is>
          <t>ÖSTERGÖTLANDS LÄN</t>
        </is>
      </c>
      <c r="G182" t="inlineStr">
        <is>
          <t>MJÖLBY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46283</v>
      </c>
      <c r="F183" t="inlineStr">
        <is>
          <t>ÖSTERGÖTLANDS LÄN</t>
        </is>
      </c>
      <c r="G183" t="inlineStr">
        <is>
          <t>MJÖLBY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44663</v>
      </c>
      <c r="E184" s="1" t="n">
        <v>46283</v>
      </c>
      <c r="F184" t="inlineStr">
        <is>
          <t>ÖSTERGÖTLANDS LÄN</t>
        </is>
      </c>
      <c r="G184" t="inlineStr">
        <is>
          <t>MJÖLBY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45525</v>
      </c>
      <c r="E185" s="1" t="n">
        <v>46283</v>
      </c>
      <c r="F185" t="inlineStr">
        <is>
          <t>ÖSTERGÖTLANDS LÄN</t>
        </is>
      </c>
      <c r="G185" t="inlineStr">
        <is>
          <t>MJÖLBY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46232</v>
      </c>
      <c r="E186" s="1" t="n">
        <v>46283</v>
      </c>
      <c r="F186" t="inlineStr">
        <is>
          <t>ÖSTERGÖTLANDS LÄN</t>
        </is>
      </c>
      <c r="G186" t="inlineStr">
        <is>
          <t>MJÖLBY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46283</v>
      </c>
      <c r="F187" t="inlineStr">
        <is>
          <t>ÖSTERGÖTLANDS LÄN</t>
        </is>
      </c>
      <c r="G187" t="inlineStr">
        <is>
          <t>MJÖLBY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46283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46283</v>
      </c>
      <c r="F189" t="inlineStr">
        <is>
          <t>ÖSTERGÖTLANDS LÄN</t>
        </is>
      </c>
      <c r="G189" t="inlineStr">
        <is>
          <t>MJÖLBY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46283</v>
      </c>
      <c r="F190" t="inlineStr">
        <is>
          <t>ÖSTERGÖTLANDS LÄN</t>
        </is>
      </c>
      <c r="G190" t="inlineStr">
        <is>
          <t>MJÖLBY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46283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46283</v>
      </c>
      <c r="F192" t="inlineStr">
        <is>
          <t>ÖSTERGÖTLANDS LÄN</t>
        </is>
      </c>
      <c r="G192" t="inlineStr">
        <is>
          <t>MJÖLBY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46232</v>
      </c>
      <c r="E193" s="1" t="n">
        <v>46283</v>
      </c>
      <c r="F193" t="inlineStr">
        <is>
          <t>ÖSTERGÖTLANDS LÄN</t>
        </is>
      </c>
      <c r="G193" t="inlineStr">
        <is>
          <t>MJÖLBY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46232</v>
      </c>
      <c r="E194" s="1" t="n">
        <v>46283</v>
      </c>
      <c r="F194" t="inlineStr">
        <is>
          <t>ÖSTERGÖTLANDS LÄN</t>
        </is>
      </c>
      <c r="G194" t="inlineStr">
        <is>
          <t>MJÖLBY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46279</v>
      </c>
      <c r="E195" s="1" t="n">
        <v>46283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Kyrkan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46237</v>
      </c>
      <c r="E196" s="1" t="n">
        <v>46283</v>
      </c>
      <c r="F196" t="inlineStr">
        <is>
          <t>ÖSTERGÖTLANDS LÄN</t>
        </is>
      </c>
      <c r="G196" t="inlineStr">
        <is>
          <t>MJÖLBY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46239</v>
      </c>
      <c r="E197" s="1" t="n">
        <v>46283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46283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46239</v>
      </c>
      <c r="E199" s="1" t="n">
        <v>46283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46283</v>
      </c>
      <c r="F200" t="inlineStr">
        <is>
          <t>ÖSTERGÖTLANDS LÄN</t>
        </is>
      </c>
      <c r="G200" t="inlineStr">
        <is>
          <t>MJÖLBY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46283</v>
      </c>
      <c r="F201" t="inlineStr">
        <is>
          <t>ÖSTERGÖTLANDS LÄN</t>
        </is>
      </c>
      <c r="G201" t="inlineStr">
        <is>
          <t>MJÖLBY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46283</v>
      </c>
      <c r="F202" t="inlineStr">
        <is>
          <t>ÖSTERGÖTLANDS LÄN</t>
        </is>
      </c>
      <c r="G202" t="inlineStr">
        <is>
          <t>MJÖLBY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4314-2024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45324</v>
      </c>
      <c r="E203" s="1" t="n">
        <v>46283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46283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46283</v>
      </c>
      <c r="F205" t="inlineStr">
        <is>
          <t>ÖSTERGÖTLANDS LÄN</t>
        </is>
      </c>
      <c r="G205" t="inlineStr">
        <is>
          <t>MJÖLBY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46283</v>
      </c>
      <c r="F206" t="inlineStr">
        <is>
          <t>ÖSTERGÖTLANDS LÄN</t>
        </is>
      </c>
      <c r="G206" t="inlineStr">
        <is>
          <t>MJÖLBY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46283</v>
      </c>
      <c r="F207" t="inlineStr">
        <is>
          <t>ÖSTERGÖTLANDS LÄN</t>
        </is>
      </c>
      <c r="G207" t="inlineStr">
        <is>
          <t>MJÖLBY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46283</v>
      </c>
      <c r="F208" t="inlineStr">
        <is>
          <t>ÖSTERGÖTLANDS LÄN</t>
        </is>
      </c>
      <c r="G208" t="inlineStr">
        <is>
          <t>MJÖLBY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46283</v>
      </c>
      <c r="F209" t="inlineStr">
        <is>
          <t>ÖSTERGÖTLANDS LÄN</t>
        </is>
      </c>
      <c r="G209" t="inlineStr">
        <is>
          <t>MJÖLBY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46283</v>
      </c>
      <c r="F210" t="inlineStr">
        <is>
          <t>ÖSTERGÖTLANDS LÄN</t>
        </is>
      </c>
      <c r="G210" t="inlineStr">
        <is>
          <t>MJÖLBY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45177</v>
      </c>
      <c r="E211" s="1" t="n">
        <v>46283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46283</v>
      </c>
      <c r="F212" t="inlineStr">
        <is>
          <t>ÖSTERGÖTLANDS LÄN</t>
        </is>
      </c>
      <c r="G212" t="inlineStr">
        <is>
          <t>MJÖLBY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46283</v>
      </c>
      <c r="F213" t="inlineStr">
        <is>
          <t>ÖSTERGÖTLANDS LÄN</t>
        </is>
      </c>
      <c r="G213" t="inlineStr">
        <is>
          <t>MJÖLBY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46283</v>
      </c>
      <c r="F214" t="inlineStr">
        <is>
          <t>ÖSTERGÖTLANDS LÄN</t>
        </is>
      </c>
      <c r="G214" t="inlineStr">
        <is>
          <t>MJÖLBY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46283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46283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46283</v>
      </c>
      <c r="F217" t="inlineStr">
        <is>
          <t>ÖSTERGÖTLANDS LÄN</t>
        </is>
      </c>
      <c r="G217" t="inlineStr">
        <is>
          <t>MJÖLBY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46283</v>
      </c>
      <c r="F218" t="inlineStr">
        <is>
          <t>ÖSTERGÖTLANDS LÄN</t>
        </is>
      </c>
      <c r="G218" t="inlineStr">
        <is>
          <t>MJÖLBY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45293</v>
      </c>
      <c r="E219" s="1" t="n">
        <v>46283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46283</v>
      </c>
      <c r="F220" t="inlineStr">
        <is>
          <t>ÖSTERGÖTLANDS LÄN</t>
        </is>
      </c>
      <c r="G220" t="inlineStr">
        <is>
          <t>MJÖLBY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46283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46283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46283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46283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46283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46283</v>
      </c>
      <c r="F226" t="inlineStr">
        <is>
          <t>ÖSTERGÖTLANDS LÄN</t>
        </is>
      </c>
      <c r="G226" t="inlineStr">
        <is>
          <t>MJÖLBY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46283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46283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45526</v>
      </c>
      <c r="E229" s="1" t="n">
        <v>46283</v>
      </c>
      <c r="F229" t="inlineStr">
        <is>
          <t>ÖSTERGÖTLANDS LÄN</t>
        </is>
      </c>
      <c r="G229" t="inlineStr">
        <is>
          <t>MJÖLBY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46283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46283</v>
      </c>
      <c r="F231" t="inlineStr">
        <is>
          <t>ÖSTERGÖTLANDS LÄN</t>
        </is>
      </c>
      <c r="G231" t="inlineStr">
        <is>
          <t>MJÖLBY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46283</v>
      </c>
      <c r="F232" t="inlineStr">
        <is>
          <t>ÖSTERGÖTLANDS LÄN</t>
        </is>
      </c>
      <c r="G232" t="inlineStr">
        <is>
          <t>MJÖLBY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46283</v>
      </c>
      <c r="F233" t="inlineStr">
        <is>
          <t>ÖSTERGÖTLANDS LÄN</t>
        </is>
      </c>
      <c r="G233" t="inlineStr">
        <is>
          <t>MJÖLBY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18740-2025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46283</v>
      </c>
      <c r="F234" t="inlineStr">
        <is>
          <t>ÖSTERGÖTLANDS LÄN</t>
        </is>
      </c>
      <c r="G234" t="inlineStr">
        <is>
          <t>MJÖLBY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27232-2025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45812</v>
      </c>
      <c r="E235" s="1" t="n">
        <v>46283</v>
      </c>
      <c r="F235" t="inlineStr">
        <is>
          <t>ÖSTERGÖTLANDS LÄN</t>
        </is>
      </c>
      <c r="G235" t="inlineStr">
        <is>
          <t>MJÖLBY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1827-2026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46197</v>
      </c>
      <c r="E236" s="1" t="n">
        <v>46283</v>
      </c>
      <c r="F236" t="inlineStr">
        <is>
          <t>ÖSTERGÖTLANDS LÄN</t>
        </is>
      </c>
      <c r="G236" t="inlineStr">
        <is>
          <t>MJÖLBY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2026-09-18T01:59:40Z</dcterms:created>
  <dcterms:modified xmlns:dcterms="http://purl.org/dc/terms/" xmlns:xsi="http://www.w3.org/2001/XMLSchema-instance" xsi:type="dcterms:W3CDTF">2026-09-18T01:59:41Z</dcterms:modified>
</cp:coreProperties>
</file>