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46242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46242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46242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46242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46242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46242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46242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54444-2021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46242</v>
      </c>
      <c r="F9" t="inlineStr">
        <is>
          <t>ÖSTERGÖTLANDS LÄN</t>
        </is>
      </c>
      <c r="G9" t="inlineStr">
        <is>
          <t>MJÖLBY</t>
        </is>
      </c>
      <c r="I9" t="n">
        <v>1.3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Ängshök</t>
        </is>
      </c>
      <c r="W9">
        <f>HYPERLINK("https://klasma.github.io/Logging_0586/artfynd/A 54444-2021 artfynd.xlsx", "A 54444-2021")</f>
        <v/>
      </c>
      <c r="X9">
        <f>HYPERLINK("https://klasma.github.io/Logging_0586/kartor/A 54444-2021 karta.png", "A 54444-2021")</f>
        <v/>
      </c>
      <c r="Y9">
        <f>HYPERLINK("https://klasma.github.io/Logging_0586/kartor_geotiff/A 54444-2021 georefererad karta.tif", "A 54444-2021")</f>
        <v/>
      </c>
      <c r="AA9">
        <f>HYPERLINK("https://klasma.github.io/Logging_0586/klagomål/A 54444-2021 FSC-klagomål.docx", "A 54444-2021")</f>
        <v/>
      </c>
      <c r="AB9">
        <f>HYPERLINK("https://klasma.github.io/Logging_0586/klagomålsmail/A 54444-2021 FSC-klagomål mail.docx", "A 54444-2021")</f>
        <v/>
      </c>
      <c r="AC9">
        <f>HYPERLINK("https://klasma.github.io/Logging_0586/tillsyn/A 54444-2021 tillsynsbegäran.docx", "A 54444-2021")</f>
        <v/>
      </c>
      <c r="AD9">
        <f>HYPERLINK("https://klasma.github.io/Logging_0586/tillsynsmail/A 54444-2021 tillsynsbegäran mail.docx", "A 54444-2021")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46242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45446</v>
      </c>
      <c r="E11" s="1" t="n">
        <v>46242</v>
      </c>
      <c r="F11" t="inlineStr">
        <is>
          <t>ÖSTERGÖTLANDS LÄN</t>
        </is>
      </c>
      <c r="G11" t="inlineStr">
        <is>
          <t>MJÖLBY</t>
        </is>
      </c>
      <c r="I11" t="n">
        <v>1.8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HYPERLINK("https://klasma.github.io/Logging_0586/artfynd/A 22327-2024 artfynd.xlsx", "A 22327-2024")</f>
        <v/>
      </c>
      <c r="X11">
        <f>HYPERLINK("https://klasma.github.io/Logging_0586/kartor/A 22327-2024 karta.png", "A 22327-2024")</f>
        <v/>
      </c>
      <c r="Y11">
        <f>HYPERLINK("https://klasma.github.io/Logging_0586/kartor_geotiff/A 22327-2024 georefererad karta.tif", "A 22327-2024")</f>
        <v/>
      </c>
      <c r="AA11">
        <f>HYPERLINK("https://klasma.github.io/Logging_0586/klagomål/A 22327-2024 FSC-klagomål.docx", "A 22327-2024")</f>
        <v/>
      </c>
      <c r="AB11">
        <f>HYPERLINK("https://klasma.github.io/Logging_0586/klagomålsmail/A 22327-2024 FSC-klagomål mail.docx", "A 22327-2024")</f>
        <v/>
      </c>
      <c r="AC11">
        <f>HYPERLINK("https://klasma.github.io/Logging_0586/tillsyn/A 22327-2024 tillsynsbegäran.docx", "A 22327-2024")</f>
        <v/>
      </c>
      <c r="AD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46242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46242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46242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46242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46242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46242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Vårstarr</t>
        </is>
      </c>
      <c r="W17">
        <f>HYPERLINK("https://klasma.github.io/Logging_0586/artfynd/A 51642-2021 artfynd.xlsx", "A 51642-2021")</f>
        <v/>
      </c>
      <c r="X17">
        <f>HYPERLINK("https://klasma.github.io/Logging_0586/kartor/A 51642-2021 karta.png", "A 51642-2021")</f>
        <v/>
      </c>
      <c r="Y17">
        <f>HYPERLINK("https://klasma.github.io/Logging_0586/kartor_geotiff/A 51642-2021 georefererad karta.tif", "A 51642-2021")</f>
        <v/>
      </c>
      <c r="AA17">
        <f>HYPERLINK("https://klasma.github.io/Logging_0586/klagomål/A 51642-2021 FSC-klagomål.docx", "A 51642-2021")</f>
        <v/>
      </c>
      <c r="AB17">
        <f>HYPERLINK("https://klasma.github.io/Logging_0586/klagomålsmail/A 51642-2021 FSC-klagomål mail.docx", "A 51642-2021")</f>
        <v/>
      </c>
      <c r="AC17">
        <f>HYPERLINK("https://klasma.github.io/Logging_0586/tillsyn/A 51642-2021 tillsynsbegäran.docx", "A 51642-2021")</f>
        <v/>
      </c>
      <c r="AD17">
        <f>HYPERLINK("https://klasma.github.io/Logging_0586/tillsynsmail/A 51642-2021 tillsynsbegäran mail.docx", "A 51642-2021")</f>
        <v/>
      </c>
    </row>
    <row r="18" ht="15" customHeight="1">
      <c r="A18" t="inlineStr">
        <is>
          <t>A 51642-2021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46242</v>
      </c>
      <c r="F18" t="inlineStr">
        <is>
          <t>ÖSTERGÖTLANDS LÄN</t>
        </is>
      </c>
      <c r="G18" t="inlineStr">
        <is>
          <t>MJÖLBY</t>
        </is>
      </c>
      <c r="I18" t="n">
        <v>2.9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Vårstarr</t>
        </is>
      </c>
      <c r="W18">
        <f>HYPERLINK("https://klasma.github.io/Logging_0586/artfynd/A 51642-2021 artfynd.xlsx", "A 51642-2021")</f>
        <v/>
      </c>
      <c r="X18">
        <f>HYPERLINK("https://klasma.github.io/Logging_0586/kartor/A 51642-2021 karta.png", "A 51642-2021")</f>
        <v/>
      </c>
      <c r="Y18">
        <f>HYPERLINK("https://klasma.github.io/Logging_0586/kartor_geotiff/A 51642-2021 georefererad karta.tif", "A 51642-2021")</f>
        <v/>
      </c>
      <c r="AA18">
        <f>HYPERLINK("https://klasma.github.io/Logging_0586/klagomål/A 51642-2021 FSC-klagomål.docx", "A 51642-2021")</f>
        <v/>
      </c>
      <c r="AB18">
        <f>HYPERLINK("https://klasma.github.io/Logging_0586/klagomålsmail/A 51642-2021 FSC-klagomål mail.docx", "A 51642-2021")</f>
        <v/>
      </c>
      <c r="AC18">
        <f>HYPERLINK("https://klasma.github.io/Logging_0586/tillsyn/A 51642-2021 tillsynsbegäran.docx", "A 51642-2021")</f>
        <v/>
      </c>
      <c r="AD18">
        <f>HYPERLINK("https://klasma.github.io/Logging_0586/tillsynsmail/A 51642-2021 tillsynsbegäran mail.docx", "A 51642-2021")</f>
        <v/>
      </c>
    </row>
    <row r="19" ht="15" customHeight="1">
      <c r="A19" t="inlineStr">
        <is>
          <t>A 9030-2022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44615</v>
      </c>
      <c r="E19" s="1" t="n">
        <v>46242</v>
      </c>
      <c r="F19" t="inlineStr">
        <is>
          <t>ÖSTERGÖTLANDS LÄN</t>
        </is>
      </c>
      <c r="G19" t="inlineStr">
        <is>
          <t>MJÖLBY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HYPERLINK("https://klasma.github.io/Logging_0586/artfynd/A 9030-2022 artfynd.xlsx", "A 9030-2022")</f>
        <v/>
      </c>
      <c r="X19">
        <f>HYPERLINK("https://klasma.github.io/Logging_0586/kartor/A 9030-2022 karta.png", "A 9030-2022")</f>
        <v/>
      </c>
      <c r="Y19">
        <f>HYPERLINK("https://klasma.github.io/Logging_0586/kartor_geotiff/A 9030-2022 georefererad karta.tif", "A 9030-2022")</f>
        <v/>
      </c>
      <c r="AA19">
        <f>HYPERLINK("https://klasma.github.io/Logging_0586/klagomål/A 9030-2022 FSC-klagomål.docx", "A 9030-2022")</f>
        <v/>
      </c>
      <c r="AB19">
        <f>HYPERLINK("https://klasma.github.io/Logging_0586/klagomålsmail/A 9030-2022 FSC-klagomål mail.docx", "A 9030-2022")</f>
        <v/>
      </c>
      <c r="AC19">
        <f>HYPERLINK("https://klasma.github.io/Logging_0586/tillsyn/A 9030-2022 tillsynsbegäran.docx", "A 9030-2022")</f>
        <v/>
      </c>
      <c r="AD19">
        <f>HYPERLINK("https://klasma.github.io/Logging_0586/tillsynsmail/A 9030-2022 tillsynsbegäran mail.docx", "A 9030-2022")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46242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46242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44468-2021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44435</v>
      </c>
      <c r="E22" s="1" t="n">
        <v>46242</v>
      </c>
      <c r="F22" t="inlineStr">
        <is>
          <t>ÖSTERGÖTLANDS LÄN</t>
        </is>
      </c>
      <c r="G22" t="inlineStr">
        <is>
          <t>MJÖLBY</t>
        </is>
      </c>
      <c r="H22" t="inlineStr">
        <is>
          <t>Kommuner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HYPERLINK("https://klasma.github.io/Logging_0586/artfynd/A 44468-2021 artfynd.xlsx", "A 44468-2021")</f>
        <v/>
      </c>
      <c r="X22">
        <f>HYPERLINK("https://klasma.github.io/Logging_0586/kartor/A 44468-2021 karta.png", "A 44468-2021")</f>
        <v/>
      </c>
      <c r="Y22">
        <f>HYPERLINK("https://klasma.github.io/Logging_0586/kartor_geotiff/A 44468-2021 georefererad karta.tif", "A 44468-2021")</f>
        <v/>
      </c>
      <c r="AA22">
        <f>HYPERLINK("https://klasma.github.io/Logging_0586/klagomål/A 44468-2021 FSC-klagomål.docx", "A 44468-2021")</f>
        <v/>
      </c>
      <c r="AB22">
        <f>HYPERLINK("https://klasma.github.io/Logging_0586/klagomålsmail/A 44468-2021 FSC-klagomål mail.docx", "A 44468-2021")</f>
        <v/>
      </c>
      <c r="AC22">
        <f>HYPERLINK("https://klasma.github.io/Logging_0586/tillsyn/A 44468-2021 tillsynsbegäran.docx", "A 44468-2021")</f>
        <v/>
      </c>
      <c r="AD22">
        <f>HYPERLINK("https://klasma.github.io/Logging_0586/tillsynsmail/A 44468-2021 tillsynsbegäran mail.docx", "A 44468-2021")</f>
        <v/>
      </c>
    </row>
    <row r="23" ht="15" customHeight="1">
      <c r="A23" t="inlineStr">
        <is>
          <t>A 50403-2022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44866</v>
      </c>
      <c r="E23" s="1" t="n">
        <v>46242</v>
      </c>
      <c r="F23" t="inlineStr">
        <is>
          <t>ÖSTERGÖTLANDS LÄN</t>
        </is>
      </c>
      <c r="G23" t="inlineStr">
        <is>
          <t>MJÖLBY</t>
        </is>
      </c>
      <c r="H23" t="inlineStr">
        <is>
          <t>Sveaskog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Springkorn</t>
        </is>
      </c>
      <c r="W23">
        <f>HYPERLINK("https://klasma.github.io/Logging_0586/artfynd/A 50403-2022 artfynd.xlsx", "A 50403-2022")</f>
        <v/>
      </c>
      <c r="X23">
        <f>HYPERLINK("https://klasma.github.io/Logging_0586/kartor/A 50403-2022 karta.png", "A 50403-2022")</f>
        <v/>
      </c>
      <c r="Y23">
        <f>HYPERLINK("https://klasma.github.io/Logging_0586/kartor_geotiff/A 50403-2022 georefererad karta.tif", "A 50403-2022")</f>
        <v/>
      </c>
      <c r="AA23">
        <f>HYPERLINK("https://klasma.github.io/Logging_0586/klagomål/A 50403-2022 FSC-klagomål.docx", "A 50403-2022")</f>
        <v/>
      </c>
      <c r="AB23">
        <f>HYPERLINK("https://klasma.github.io/Logging_0586/klagomålsmail/A 50403-2022 FSC-klagomål mail.docx", "A 50403-2022")</f>
        <v/>
      </c>
      <c r="AC23">
        <f>HYPERLINK("https://klasma.github.io/Logging_0586/tillsyn/A 50403-2022 tillsynsbegäran.docx", "A 50403-2022")</f>
        <v/>
      </c>
      <c r="AD23">
        <f>HYPERLINK("https://klasma.github.io/Logging_0586/tillsynsmail/A 50403-2022 tillsynsbegäran mail.docx", "A 50403-2022")</f>
        <v/>
      </c>
    </row>
    <row r="24" ht="15" customHeight="1">
      <c r="A24" t="inlineStr">
        <is>
          <t>A 32573-2026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46242</v>
      </c>
      <c r="F24" t="inlineStr">
        <is>
          <t>ÖSTERGÖTLANDS LÄN</t>
        </is>
      </c>
      <c r="G24" t="inlineStr">
        <is>
          <t>MJÖLBY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HYPERLINK("https://klasma.github.io/Logging_0586/artfynd/A 32573-2026 artfynd.xlsx", "A 32573-2026")</f>
        <v/>
      </c>
      <c r="X24">
        <f>HYPERLINK("https://klasma.github.io/Logging_0586/kartor/A 32573-2026 karta.png", "A 32573-2026")</f>
        <v/>
      </c>
      <c r="Y24">
        <f>HYPERLINK("https://klasma.github.io/Logging_0586/kartor_geotiff/A 32573-2026 georefererad karta.tif", "A 32573-2026")</f>
        <v/>
      </c>
      <c r="AA24">
        <f>HYPERLINK("https://klasma.github.io/Logging_0586/klagomål/A 32573-2026 FSC-klagomål.docx", "A 32573-2026")</f>
        <v/>
      </c>
      <c r="AB24">
        <f>HYPERLINK("https://klasma.github.io/Logging_0586/klagomålsmail/A 32573-2026 FSC-klagomål mail.docx", "A 32573-2026")</f>
        <v/>
      </c>
      <c r="AC24">
        <f>HYPERLINK("https://klasma.github.io/Logging_0586/tillsyn/A 32573-2026 tillsynsbegäran.docx", "A 32573-2026")</f>
        <v/>
      </c>
      <c r="AD24">
        <f>HYPERLINK("https://klasma.github.io/Logging_0586/tillsynsmail/A 32573-2026 tillsynsbegäran mail.docx", "A 32573-2026")</f>
        <v/>
      </c>
    </row>
    <row r="25" ht="15" customHeight="1">
      <c r="A25" t="inlineStr">
        <is>
          <t>A 32554-2026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46242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Purpurknipprot</t>
        </is>
      </c>
      <c r="W25">
        <f>HYPERLINK("https://klasma.github.io/Logging_0586/artfynd/A 32554-2026 artfynd.xlsx", "A 32554-2026")</f>
        <v/>
      </c>
      <c r="X25">
        <f>HYPERLINK("https://klasma.github.io/Logging_0586/kartor/A 32554-2026 karta.png", "A 32554-2026")</f>
        <v/>
      </c>
      <c r="Y25">
        <f>HYPERLINK("https://klasma.github.io/Logging_0586/kartor_geotiff/A 32554-2026 georefererad karta.tif", "A 32554-2026")</f>
        <v/>
      </c>
      <c r="AA25">
        <f>HYPERLINK("https://klasma.github.io/Logging_0586/klagomål/A 32554-2026 FSC-klagomål.docx", "A 32554-2026")</f>
        <v/>
      </c>
      <c r="AB25">
        <f>HYPERLINK("https://klasma.github.io/Logging_0586/klagomålsmail/A 32554-2026 FSC-klagomål mail.docx", "A 32554-2026")</f>
        <v/>
      </c>
      <c r="AC25">
        <f>HYPERLINK("https://klasma.github.io/Logging_0586/tillsyn/A 32554-2026 tillsynsbegäran.docx", "A 32554-2026")</f>
        <v/>
      </c>
      <c r="AD25">
        <f>HYPERLINK("https://klasma.github.io/Logging_0586/tillsynsmail/A 32554-2026 tillsynsbegäran mail.docx", "A 32554-2026")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46242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46242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46242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46242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46242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46242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46242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46242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46242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46242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46242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50901-2024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46242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46242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45009</v>
      </c>
      <c r="E39" s="1" t="n">
        <v>46242</v>
      </c>
      <c r="F39" t="inlineStr">
        <is>
          <t>ÖSTERGÖTLANDS LÄN</t>
        </is>
      </c>
      <c r="G39" t="inlineStr">
        <is>
          <t>MJÖLBY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46242</v>
      </c>
      <c r="F40" t="inlineStr">
        <is>
          <t>ÖSTERGÖTLANDS LÄN</t>
        </is>
      </c>
      <c r="G40" t="inlineStr">
        <is>
          <t>MJÖLBY</t>
        </is>
      </c>
      <c r="H40" t="inlineStr">
        <is>
          <t>Allmännings- och besparingsskogar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50886-2024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46242</v>
      </c>
      <c r="F41" t="inlineStr">
        <is>
          <t>ÖSTERGÖTLANDS LÄN</t>
        </is>
      </c>
      <c r="G41" t="inlineStr">
        <is>
          <t>MJÖLBY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60917-2022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46242</v>
      </c>
      <c r="F42" t="inlineStr">
        <is>
          <t>ÖSTERGÖTLANDS LÄN</t>
        </is>
      </c>
      <c r="G42" t="inlineStr">
        <is>
          <t>MJÖLBY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46242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43012-2024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45567</v>
      </c>
      <c r="E44" s="1" t="n">
        <v>46242</v>
      </c>
      <c r="F44" t="inlineStr">
        <is>
          <t>ÖSTERGÖTLANDS LÄN</t>
        </is>
      </c>
      <c r="G44" t="inlineStr">
        <is>
          <t>MJÖLBY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45407</v>
      </c>
      <c r="E45" s="1" t="n">
        <v>46242</v>
      </c>
      <c r="F45" t="inlineStr">
        <is>
          <t>ÖSTERGÖTLANDS LÄN</t>
        </is>
      </c>
      <c r="G45" t="inlineStr">
        <is>
          <t>MJÖLBY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46242</v>
      </c>
      <c r="F46" t="inlineStr">
        <is>
          <t>ÖSTERGÖTLANDS LÄN</t>
        </is>
      </c>
      <c r="G46" t="inlineStr">
        <is>
          <t>MJÖLBY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46242</v>
      </c>
      <c r="F47" t="inlineStr">
        <is>
          <t>ÖSTERGÖTLANDS LÄN</t>
        </is>
      </c>
      <c r="G47" t="inlineStr">
        <is>
          <t>MJÖLBY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46242</v>
      </c>
      <c r="F48" t="inlineStr">
        <is>
          <t>ÖSTERGÖTLANDS LÄN</t>
        </is>
      </c>
      <c r="G48" t="inlineStr">
        <is>
          <t>MJÖLBY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46242</v>
      </c>
      <c r="F49" t="inlineStr">
        <is>
          <t>ÖSTERGÖTLANDS LÄN</t>
        </is>
      </c>
      <c r="G49" t="inlineStr">
        <is>
          <t>MJÖLBY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45170</v>
      </c>
      <c r="E50" s="1" t="n">
        <v>46242</v>
      </c>
      <c r="F50" t="inlineStr">
        <is>
          <t>ÖSTERGÖTLANDS LÄN</t>
        </is>
      </c>
      <c r="G50" t="inlineStr">
        <is>
          <t>MJÖLBY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9125-2023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44980</v>
      </c>
      <c r="E51" s="1" t="n">
        <v>46242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46242</v>
      </c>
      <c r="F52" t="inlineStr">
        <is>
          <t>ÖSTERGÖTLANDS LÄN</t>
        </is>
      </c>
      <c r="G52" t="inlineStr">
        <is>
          <t>MJÖLBY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46242</v>
      </c>
      <c r="F53" t="inlineStr">
        <is>
          <t>ÖSTERGÖTLANDS LÄN</t>
        </is>
      </c>
      <c r="G53" t="inlineStr">
        <is>
          <t>MJÖLBY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44663</v>
      </c>
      <c r="E54" s="1" t="n">
        <v>46242</v>
      </c>
      <c r="F54" t="inlineStr">
        <is>
          <t>ÖSTERGÖTLANDS LÄN</t>
        </is>
      </c>
      <c r="G54" t="inlineStr">
        <is>
          <t>MJÖLBY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45208</v>
      </c>
      <c r="E55" s="1" t="n">
        <v>46242</v>
      </c>
      <c r="F55" t="inlineStr">
        <is>
          <t>ÖSTERGÖTLANDS LÄN</t>
        </is>
      </c>
      <c r="G55" t="inlineStr">
        <is>
          <t>MJÖLBY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45221</v>
      </c>
      <c r="E56" s="1" t="n">
        <v>46242</v>
      </c>
      <c r="F56" t="inlineStr">
        <is>
          <t>ÖSTERGÖTLANDS LÄN</t>
        </is>
      </c>
      <c r="G56" t="inlineStr">
        <is>
          <t>MJÖLBY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44971</v>
      </c>
      <c r="E57" s="1" t="n">
        <v>46242</v>
      </c>
      <c r="F57" t="inlineStr">
        <is>
          <t>ÖSTERGÖTLANDS LÄN</t>
        </is>
      </c>
      <c r="G57" t="inlineStr">
        <is>
          <t>MJÖLBY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46048</v>
      </c>
      <c r="E58" s="1" t="n">
        <v>46242</v>
      </c>
      <c r="F58" t="inlineStr">
        <is>
          <t>ÖSTERGÖTLANDS LÄN</t>
        </is>
      </c>
      <c r="G58" t="inlineStr">
        <is>
          <t>MJÖLBY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46048</v>
      </c>
      <c r="E59" s="1" t="n">
        <v>46242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27232-2025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45812</v>
      </c>
      <c r="E60" s="1" t="n">
        <v>46242</v>
      </c>
      <c r="F60" t="inlineStr">
        <is>
          <t>ÖSTERGÖTLANDS LÄN</t>
        </is>
      </c>
      <c r="G60" t="inlineStr">
        <is>
          <t>MJÖLBY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46242</v>
      </c>
      <c r="F61" t="inlineStr">
        <is>
          <t>ÖSTERGÖTLANDS LÄN</t>
        </is>
      </c>
      <c r="G61" t="inlineStr">
        <is>
          <t>MJÖLBY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46242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45250</v>
      </c>
      <c r="E63" s="1" t="n">
        <v>46242</v>
      </c>
      <c r="F63" t="inlineStr">
        <is>
          <t>ÖSTERGÖTLANDS LÄN</t>
        </is>
      </c>
      <c r="G63" t="inlineStr">
        <is>
          <t>MJÖLBY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63449-2023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45273</v>
      </c>
      <c r="E64" s="1" t="n">
        <v>46242</v>
      </c>
      <c r="F64" t="inlineStr">
        <is>
          <t>ÖSTERGÖTLANDS LÄN</t>
        </is>
      </c>
      <c r="G64" t="inlineStr">
        <is>
          <t>MJÖLBY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46242</v>
      </c>
      <c r="F65" t="inlineStr">
        <is>
          <t>ÖSTERGÖTLANDS LÄN</t>
        </is>
      </c>
      <c r="G65" t="inlineStr">
        <is>
          <t>MJÖLBY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46242</v>
      </c>
      <c r="F66" t="inlineStr">
        <is>
          <t>ÖSTERGÖTLANDS LÄN</t>
        </is>
      </c>
      <c r="G66" t="inlineStr">
        <is>
          <t>MJÖLBY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46242</v>
      </c>
      <c r="F67" t="inlineStr">
        <is>
          <t>ÖSTERGÖTLANDS LÄN</t>
        </is>
      </c>
      <c r="G67" t="inlineStr">
        <is>
          <t>MJÖLBY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46242</v>
      </c>
      <c r="F68" t="inlineStr">
        <is>
          <t>ÖSTERGÖTLANDS LÄN</t>
        </is>
      </c>
      <c r="G68" t="inlineStr">
        <is>
          <t>MJÖLBY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46242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46242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45681</v>
      </c>
      <c r="E71" s="1" t="n">
        <v>46242</v>
      </c>
      <c r="F71" t="inlineStr">
        <is>
          <t>ÖSTERGÖTLANDS LÄN</t>
        </is>
      </c>
      <c r="G71" t="inlineStr">
        <is>
          <t>MJÖLBY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46242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46242</v>
      </c>
      <c r="F73" t="inlineStr">
        <is>
          <t>ÖSTERGÖTLANDS LÄN</t>
        </is>
      </c>
      <c r="G73" t="inlineStr">
        <is>
          <t>MJÖLBY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46242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11064-2026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46079</v>
      </c>
      <c r="E75" s="1" t="n">
        <v>46242</v>
      </c>
      <c r="F75" t="inlineStr">
        <is>
          <t>ÖSTERGÖTLANDS LÄN</t>
        </is>
      </c>
      <c r="G75" t="inlineStr">
        <is>
          <t>MJÖLBY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45674</v>
      </c>
      <c r="E76" s="1" t="n">
        <v>46242</v>
      </c>
      <c r="F76" t="inlineStr">
        <is>
          <t>ÖSTERGÖTLANDS LÄN</t>
        </is>
      </c>
      <c r="G76" t="inlineStr">
        <is>
          <t>MJÖLBY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46242</v>
      </c>
      <c r="F77" t="inlineStr">
        <is>
          <t>ÖSTERGÖTLANDS LÄN</t>
        </is>
      </c>
      <c r="G77" t="inlineStr">
        <is>
          <t>MJÖLBY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46242</v>
      </c>
      <c r="F78" t="inlineStr">
        <is>
          <t>ÖSTERGÖTLANDS LÄN</t>
        </is>
      </c>
      <c r="G78" t="inlineStr">
        <is>
          <t>MJÖLBY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50181-2023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46242</v>
      </c>
      <c r="F79" t="inlineStr">
        <is>
          <t>ÖSTERGÖTLANDS LÄN</t>
        </is>
      </c>
      <c r="G79" t="inlineStr">
        <is>
          <t>MJÖLBY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46242</v>
      </c>
      <c r="F80" t="inlineStr">
        <is>
          <t>ÖSTERGÖTLANDS LÄN</t>
        </is>
      </c>
      <c r="G80" t="inlineStr">
        <is>
          <t>MJÖLBY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30468-2025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46242</v>
      </c>
      <c r="F81" t="inlineStr">
        <is>
          <t>ÖSTERGÖTLANDS LÄN</t>
        </is>
      </c>
      <c r="G81" t="inlineStr">
        <is>
          <t>MJÖLBY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46104</v>
      </c>
      <c r="E82" s="1" t="n">
        <v>46242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46104</v>
      </c>
      <c r="E83" s="1" t="n">
        <v>46242</v>
      </c>
      <c r="F83" t="inlineStr">
        <is>
          <t>ÖSTERGÖTLANDS LÄN</t>
        </is>
      </c>
      <c r="G83" t="inlineStr">
        <is>
          <t>MJÖLBY</t>
        </is>
      </c>
      <c r="H83" t="inlineStr">
        <is>
          <t>Övriga Aktiebolag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46242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44936</v>
      </c>
      <c r="E85" s="1" t="n">
        <v>46242</v>
      </c>
      <c r="F85" t="inlineStr">
        <is>
          <t>ÖSTERGÖTLANDS LÄN</t>
        </is>
      </c>
      <c r="G85" t="inlineStr">
        <is>
          <t>MJÖLBY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45793</v>
      </c>
      <c r="E86" s="1" t="n">
        <v>46242</v>
      </c>
      <c r="F86" t="inlineStr">
        <is>
          <t>ÖSTERGÖTLANDS LÄN</t>
        </is>
      </c>
      <c r="G86" t="inlineStr">
        <is>
          <t>MJÖLBY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16110-2026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46108</v>
      </c>
      <c r="E87" s="1" t="n">
        <v>46242</v>
      </c>
      <c r="F87" t="inlineStr">
        <is>
          <t>ÖSTERGÖTLANDS LÄN</t>
        </is>
      </c>
      <c r="G87" t="inlineStr">
        <is>
          <t>MJÖLBY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46242</v>
      </c>
      <c r="F88" t="inlineStr">
        <is>
          <t>ÖSTERGÖTLANDS LÄN</t>
        </is>
      </c>
      <c r="G88" t="inlineStr">
        <is>
          <t>MJÖLBY</t>
        </is>
      </c>
      <c r="H88" t="inlineStr">
        <is>
          <t>Övriga Aktiebolag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46242</v>
      </c>
      <c r="F89" t="inlineStr">
        <is>
          <t>ÖSTERGÖTLANDS LÄN</t>
        </is>
      </c>
      <c r="G89" t="inlineStr">
        <is>
          <t>MJÖLBY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46242</v>
      </c>
      <c r="F90" t="inlineStr">
        <is>
          <t>ÖSTERGÖTLANDS LÄN</t>
        </is>
      </c>
      <c r="G90" t="inlineStr">
        <is>
          <t>MJÖLBY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44769-2025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45917</v>
      </c>
      <c r="E91" s="1" t="n">
        <v>46242</v>
      </c>
      <c r="F91" t="inlineStr">
        <is>
          <t>ÖSTERGÖTLANDS LÄN</t>
        </is>
      </c>
      <c r="G91" t="inlineStr">
        <is>
          <t>MJÖLBY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44770-2025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45917</v>
      </c>
      <c r="E92" s="1" t="n">
        <v>46242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46121</v>
      </c>
      <c r="E93" s="1" t="n">
        <v>46242</v>
      </c>
      <c r="F93" t="inlineStr">
        <is>
          <t>ÖSTERGÖTLANDS LÄN</t>
        </is>
      </c>
      <c r="G93" t="inlineStr">
        <is>
          <t>MJÖLBY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45370</v>
      </c>
      <c r="E94" s="1" t="n">
        <v>46242</v>
      </c>
      <c r="F94" t="inlineStr">
        <is>
          <t>ÖSTERGÖTLANDS LÄN</t>
        </is>
      </c>
      <c r="G94" t="inlineStr">
        <is>
          <t>MJÖLBY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46121</v>
      </c>
      <c r="E95" s="1" t="n">
        <v>46242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45973</v>
      </c>
      <c r="E96" s="1" t="n">
        <v>46242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18517-2026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46242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45376</v>
      </c>
      <c r="E98" s="1" t="n">
        <v>46242</v>
      </c>
      <c r="F98" t="inlineStr">
        <is>
          <t>ÖSTERGÖTLANDS LÄN</t>
        </is>
      </c>
      <c r="G98" t="inlineStr">
        <is>
          <t>MJÖLBY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45979</v>
      </c>
      <c r="E99" s="1" t="n">
        <v>46242</v>
      </c>
      <c r="F99" t="inlineStr">
        <is>
          <t>ÖSTERGÖTLANDS LÄN</t>
        </is>
      </c>
      <c r="G99" t="inlineStr">
        <is>
          <t>MJÖLBY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46242</v>
      </c>
      <c r="F100" t="inlineStr">
        <is>
          <t>ÖSTERGÖTLANDS LÄN</t>
        </is>
      </c>
      <c r="G100" t="inlineStr">
        <is>
          <t>MJÖLBY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45681</v>
      </c>
      <c r="E101" s="1" t="n">
        <v>46242</v>
      </c>
      <c r="F101" t="inlineStr">
        <is>
          <t>ÖSTERGÖTLANDS LÄN</t>
        </is>
      </c>
      <c r="G101" t="inlineStr">
        <is>
          <t>MJÖLBY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46242</v>
      </c>
      <c r="F102" t="inlineStr">
        <is>
          <t>ÖSTERGÖTLANDS LÄN</t>
        </is>
      </c>
      <c r="G102" t="inlineStr">
        <is>
          <t>MJÖLBY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46242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46242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46242</v>
      </c>
      <c r="F105" t="inlineStr">
        <is>
          <t>ÖSTERGÖTLANDS LÄN</t>
        </is>
      </c>
      <c r="G105" t="inlineStr">
        <is>
          <t>MJÖLBY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46242</v>
      </c>
      <c r="F106" t="inlineStr">
        <is>
          <t>ÖSTERGÖTLANDS LÄN</t>
        </is>
      </c>
      <c r="G106" t="inlineStr">
        <is>
          <t>MJÖLBY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46242</v>
      </c>
      <c r="F107" t="inlineStr">
        <is>
          <t>ÖSTERGÖTLANDS LÄN</t>
        </is>
      </c>
      <c r="G107" t="inlineStr">
        <is>
          <t>MJÖLBY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44904</v>
      </c>
      <c r="E108" s="1" t="n">
        <v>46242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46242</v>
      </c>
      <c r="F109" t="inlineStr">
        <is>
          <t>ÖSTERGÖTLANDS LÄN</t>
        </is>
      </c>
      <c r="G109" t="inlineStr">
        <is>
          <t>MJÖLBY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46242</v>
      </c>
      <c r="F110" t="inlineStr">
        <is>
          <t>ÖSTERGÖTLANDS LÄN</t>
        </is>
      </c>
      <c r="G110" t="inlineStr">
        <is>
          <t>MJÖLBY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45988</v>
      </c>
      <c r="E111" s="1" t="n">
        <v>46242</v>
      </c>
      <c r="F111" t="inlineStr">
        <is>
          <t>ÖSTERGÖTLANDS LÄN</t>
        </is>
      </c>
      <c r="G111" t="inlineStr">
        <is>
          <t>MJÖLBY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44580</v>
      </c>
      <c r="E112" s="1" t="n">
        <v>46242</v>
      </c>
      <c r="F112" t="inlineStr">
        <is>
          <t>ÖSTERGÖTLANDS LÄN</t>
        </is>
      </c>
      <c r="G112" t="inlineStr">
        <is>
          <t>MJÖLBY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46242</v>
      </c>
      <c r="F113" t="inlineStr">
        <is>
          <t>ÖSTERGÖTLANDS LÄN</t>
        </is>
      </c>
      <c r="G113" t="inlineStr">
        <is>
          <t>MJÖLBY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45666</v>
      </c>
      <c r="E114" s="1" t="n">
        <v>46242</v>
      </c>
      <c r="F114" t="inlineStr">
        <is>
          <t>ÖSTERGÖTLANDS LÄN</t>
        </is>
      </c>
      <c r="G114" t="inlineStr">
        <is>
          <t>MJÖLBY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46242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45269</v>
      </c>
      <c r="E116" s="1" t="n">
        <v>46242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41105-2025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46242</v>
      </c>
      <c r="F117" t="inlineStr">
        <is>
          <t>ÖSTERGÖTLANDS LÄN</t>
        </is>
      </c>
      <c r="G117" t="inlineStr">
        <is>
          <t>MJÖLBY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45892</v>
      </c>
      <c r="E118" s="1" t="n">
        <v>46242</v>
      </c>
      <c r="F118" t="inlineStr">
        <is>
          <t>ÖSTERGÖTLANDS LÄN</t>
        </is>
      </c>
      <c r="G118" t="inlineStr">
        <is>
          <t>MJÖLBY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46242</v>
      </c>
      <c r="F119" t="inlineStr">
        <is>
          <t>ÖSTERGÖTLANDS LÄN</t>
        </is>
      </c>
      <c r="G119" t="inlineStr">
        <is>
          <t>MJÖLBY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46242</v>
      </c>
      <c r="F120" t="inlineStr">
        <is>
          <t>ÖSTERGÖTLANDS LÄN</t>
        </is>
      </c>
      <c r="G120" t="inlineStr">
        <is>
          <t>MJÖLBY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46242</v>
      </c>
      <c r="F121" t="inlineStr">
        <is>
          <t>ÖSTERGÖTLANDS LÄN</t>
        </is>
      </c>
      <c r="G121" t="inlineStr">
        <is>
          <t>MJÖLBY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46242</v>
      </c>
      <c r="F122" t="inlineStr">
        <is>
          <t>ÖSTERGÖTLANDS LÄN</t>
        </is>
      </c>
      <c r="G122" t="inlineStr">
        <is>
          <t>MJÖLBY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46242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45812</v>
      </c>
      <c r="E124" s="1" t="n">
        <v>46242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46007</v>
      </c>
      <c r="E125" s="1" t="n">
        <v>46242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Kyrkan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46242</v>
      </c>
      <c r="F126" t="inlineStr">
        <is>
          <t>ÖSTERGÖTLANDS LÄN</t>
        </is>
      </c>
      <c r="G126" t="inlineStr">
        <is>
          <t>MJÖLBY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46139</v>
      </c>
      <c r="E127" s="1" t="n">
        <v>46242</v>
      </c>
      <c r="F127" t="inlineStr">
        <is>
          <t>ÖSTERGÖTLANDS LÄN</t>
        </is>
      </c>
      <c r="G127" t="inlineStr">
        <is>
          <t>MJÖLBY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44768</v>
      </c>
      <c r="E128" s="1" t="n">
        <v>46242</v>
      </c>
      <c r="F128" t="inlineStr">
        <is>
          <t>ÖSTERGÖTLANDS LÄN</t>
        </is>
      </c>
      <c r="G128" t="inlineStr">
        <is>
          <t>MJÖLBY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46242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4314-2024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45324</v>
      </c>
      <c r="E130" s="1" t="n">
        <v>46242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Kyrkan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46242</v>
      </c>
      <c r="F131" t="inlineStr">
        <is>
          <t>ÖSTERGÖTLANDS LÄN</t>
        </is>
      </c>
      <c r="G131" t="inlineStr">
        <is>
          <t>MJÖLBY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45216</v>
      </c>
      <c r="E132" s="1" t="n">
        <v>46242</v>
      </c>
      <c r="F132" t="inlineStr">
        <is>
          <t>ÖSTERGÖTLANDS LÄN</t>
        </is>
      </c>
      <c r="G132" t="inlineStr">
        <is>
          <t>MJÖLBY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46007</v>
      </c>
      <c r="E133" s="1" t="n">
        <v>46242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Kommuner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45597</v>
      </c>
      <c r="E134" s="1" t="n">
        <v>46242</v>
      </c>
      <c r="F134" t="inlineStr">
        <is>
          <t>ÖSTERGÖTLANDS LÄN</t>
        </is>
      </c>
      <c r="G134" t="inlineStr">
        <is>
          <t>MJÖLBY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46242</v>
      </c>
      <c r="F135" t="inlineStr">
        <is>
          <t>ÖSTERGÖTLANDS LÄN</t>
        </is>
      </c>
      <c r="G135" t="inlineStr">
        <is>
          <t>MJÖLBY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58415-2021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44488</v>
      </c>
      <c r="E136" s="1" t="n">
        <v>46242</v>
      </c>
      <c r="F136" t="inlineStr">
        <is>
          <t>ÖSTERGÖTLANDS LÄN</t>
        </is>
      </c>
      <c r="G136" t="inlineStr">
        <is>
          <t>MJÖLBY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44810</v>
      </c>
      <c r="E137" s="1" t="n">
        <v>46242</v>
      </c>
      <c r="F137" t="inlineStr">
        <is>
          <t>ÖSTERGÖTLANDS LÄN</t>
        </is>
      </c>
      <c r="G137" t="inlineStr">
        <is>
          <t>MJÖLBY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21518-2026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46242</v>
      </c>
      <c r="F138" t="inlineStr">
        <is>
          <t>ÖSTERGÖTLANDS LÄN</t>
        </is>
      </c>
      <c r="G138" t="inlineStr">
        <is>
          <t>MJÖLBY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45446</v>
      </c>
      <c r="E139" s="1" t="n">
        <v>46242</v>
      </c>
      <c r="F139" t="inlineStr">
        <is>
          <t>ÖSTERGÖTLANDS LÄN</t>
        </is>
      </c>
      <c r="G139" t="inlineStr">
        <is>
          <t>MJÖLBY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46242</v>
      </c>
      <c r="F140" t="inlineStr">
        <is>
          <t>ÖSTERGÖTLANDS LÄN</t>
        </is>
      </c>
      <c r="G140" t="inlineStr">
        <is>
          <t>MJÖLBY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46242</v>
      </c>
      <c r="F141" t="inlineStr">
        <is>
          <t>ÖSTERGÖTLANDS LÄN</t>
        </is>
      </c>
      <c r="G141" t="inlineStr">
        <is>
          <t>MJÖLBY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46242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Kommuner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46242</v>
      </c>
      <c r="F143" t="inlineStr">
        <is>
          <t>ÖSTERGÖTLANDS LÄN</t>
        </is>
      </c>
      <c r="G143" t="inlineStr">
        <is>
          <t>MJÖLBY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37802-2022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44810</v>
      </c>
      <c r="E144" s="1" t="n">
        <v>46242</v>
      </c>
      <c r="F144" t="inlineStr">
        <is>
          <t>ÖSTERGÖTLANDS LÄN</t>
        </is>
      </c>
      <c r="G144" t="inlineStr">
        <is>
          <t>MJÖLBY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46242</v>
      </c>
      <c r="F145" t="inlineStr">
        <is>
          <t>ÖSTERGÖTLANDS LÄN</t>
        </is>
      </c>
      <c r="G145" t="inlineStr">
        <is>
          <t>MJÖLBY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46242</v>
      </c>
      <c r="F146" t="inlineStr">
        <is>
          <t>ÖSTERGÖTLANDS LÄN</t>
        </is>
      </c>
      <c r="G146" t="inlineStr">
        <is>
          <t>MJÖLBY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45666</v>
      </c>
      <c r="E147" s="1" t="n">
        <v>46242</v>
      </c>
      <c r="F147" t="inlineStr">
        <is>
          <t>ÖSTERGÖTLANDS LÄN</t>
        </is>
      </c>
      <c r="G147" t="inlineStr">
        <is>
          <t>MJÖLBY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46242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45177</v>
      </c>
      <c r="E149" s="1" t="n">
        <v>46242</v>
      </c>
      <c r="F149" t="inlineStr">
        <is>
          <t>ÖSTERGÖTLANDS LÄN</t>
        </is>
      </c>
      <c r="G149" t="inlineStr">
        <is>
          <t>MJÖLBY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46242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46242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46171</v>
      </c>
      <c r="E152" s="1" t="n">
        <v>46242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46217</v>
      </c>
      <c r="E153" s="1" t="n">
        <v>46242</v>
      </c>
      <c r="F153" t="inlineStr">
        <is>
          <t>ÖSTERGÖTLANDS LÄN</t>
        </is>
      </c>
      <c r="G153" t="inlineStr">
        <is>
          <t>MJÖLBY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46217</v>
      </c>
      <c r="E154" s="1" t="n">
        <v>46242</v>
      </c>
      <c r="F154" t="inlineStr">
        <is>
          <t>ÖSTERGÖTLANDS LÄN</t>
        </is>
      </c>
      <c r="G154" t="inlineStr">
        <is>
          <t>MJÖLBY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46242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46242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46216</v>
      </c>
      <c r="E157" s="1" t="n">
        <v>46242</v>
      </c>
      <c r="F157" t="inlineStr">
        <is>
          <t>ÖSTERGÖTLANDS LÄN</t>
        </is>
      </c>
      <c r="G157" t="inlineStr">
        <is>
          <t>MJÖLBY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46242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46242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24903-2026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46174</v>
      </c>
      <c r="E160" s="1" t="n">
        <v>46242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46242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64934-2023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45282</v>
      </c>
      <c r="E162" s="1" t="n">
        <v>46242</v>
      </c>
      <c r="F162" t="inlineStr">
        <is>
          <t>ÖSTERGÖTLANDS LÄN</t>
        </is>
      </c>
      <c r="G162" t="inlineStr">
        <is>
          <t>MJÖLBY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46242</v>
      </c>
      <c r="F163" t="inlineStr">
        <is>
          <t>ÖSTERGÖTLANDS LÄN</t>
        </is>
      </c>
      <c r="G163" t="inlineStr">
        <is>
          <t>MJÖLBY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46242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59410-2022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44907</v>
      </c>
      <c r="E165" s="1" t="n">
        <v>46242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59411-2022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44907</v>
      </c>
      <c r="E166" s="1" t="n">
        <v>46242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45677</v>
      </c>
      <c r="E167" s="1" t="n">
        <v>46242</v>
      </c>
      <c r="F167" t="inlineStr">
        <is>
          <t>ÖSTERGÖTLANDS LÄN</t>
        </is>
      </c>
      <c r="G167" t="inlineStr">
        <is>
          <t>MJÖLBY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46242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45525</v>
      </c>
      <c r="E169" s="1" t="n">
        <v>46242</v>
      </c>
      <c r="F169" t="inlineStr">
        <is>
          <t>ÖSTERGÖTLANDS LÄN</t>
        </is>
      </c>
      <c r="G169" t="inlineStr">
        <is>
          <t>MJÖLBY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44613</v>
      </c>
      <c r="E170" s="1" t="n">
        <v>46242</v>
      </c>
      <c r="F170" t="inlineStr">
        <is>
          <t>ÖSTERGÖTLANDS LÄN</t>
        </is>
      </c>
      <c r="G170" t="inlineStr">
        <is>
          <t>MJÖLBY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46242</v>
      </c>
      <c r="F171" t="inlineStr">
        <is>
          <t>ÖSTERGÖTLANDS LÄN</t>
        </is>
      </c>
      <c r="G171" t="inlineStr">
        <is>
          <t>MJÖLBY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46242</v>
      </c>
      <c r="F172" t="inlineStr">
        <is>
          <t>ÖSTERGÖTLANDS LÄN</t>
        </is>
      </c>
      <c r="G172" t="inlineStr">
        <is>
          <t>MJÖLBY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46242</v>
      </c>
      <c r="F173" t="inlineStr">
        <is>
          <t>ÖSTERGÖTLANDS LÄN</t>
        </is>
      </c>
      <c r="G173" t="inlineStr">
        <is>
          <t>MJÖLBY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46242</v>
      </c>
      <c r="F174" t="inlineStr">
        <is>
          <t>ÖSTERGÖTLANDS LÄN</t>
        </is>
      </c>
      <c r="G174" t="inlineStr">
        <is>
          <t>MJÖLBY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27126-2026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46188</v>
      </c>
      <c r="E175" s="1" t="n">
        <v>46242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46242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46242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46232</v>
      </c>
      <c r="E178" s="1" t="n">
        <v>46242</v>
      </c>
      <c r="F178" t="inlineStr">
        <is>
          <t>ÖSTERGÖTLANDS LÄN</t>
        </is>
      </c>
      <c r="G178" t="inlineStr">
        <is>
          <t>MJÖLBY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46242</v>
      </c>
      <c r="F179" t="inlineStr">
        <is>
          <t>ÖSTERGÖTLANDS LÄN</t>
        </is>
      </c>
      <c r="G179" t="inlineStr">
        <is>
          <t>MJÖLBY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52655-2023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45225</v>
      </c>
      <c r="E180" s="1" t="n">
        <v>46242</v>
      </c>
      <c r="F180" t="inlineStr">
        <is>
          <t>ÖSTERGÖTLANDS LÄN</t>
        </is>
      </c>
      <c r="G180" t="inlineStr">
        <is>
          <t>MJÖLBY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45085</v>
      </c>
      <c r="E181" s="1" t="n">
        <v>46242</v>
      </c>
      <c r="F181" t="inlineStr">
        <is>
          <t>ÖSTERGÖTLANDS LÄN</t>
        </is>
      </c>
      <c r="G181" t="inlineStr">
        <is>
          <t>MJÖLBY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45553</v>
      </c>
      <c r="E182" s="1" t="n">
        <v>46242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Kyrkan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32558-2026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46242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46237</v>
      </c>
      <c r="E184" s="1" t="n">
        <v>46242</v>
      </c>
      <c r="F184" t="inlineStr">
        <is>
          <t>ÖSTERGÖTLANDS LÄN</t>
        </is>
      </c>
      <c r="G184" t="inlineStr">
        <is>
          <t>MJÖLBY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46242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44629</v>
      </c>
      <c r="E186" s="1" t="n">
        <v>46242</v>
      </c>
      <c r="F186" t="inlineStr">
        <is>
          <t>ÖSTERGÖTLANDS LÄN</t>
        </is>
      </c>
      <c r="G186" t="inlineStr">
        <is>
          <t>MJÖLBY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46242</v>
      </c>
      <c r="F187" t="inlineStr">
        <is>
          <t>ÖSTERGÖTLANDS LÄN</t>
        </is>
      </c>
      <c r="G187" t="inlineStr">
        <is>
          <t>MJÖLBY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46242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46242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68095-2021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46242</v>
      </c>
      <c r="F190" t="inlineStr">
        <is>
          <t>ÖSTERGÖTLANDS LÄN</t>
        </is>
      </c>
      <c r="G190" t="inlineStr">
        <is>
          <t>MJÖLBY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46242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58800-2022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44903</v>
      </c>
      <c r="E192" s="1" t="n">
        <v>46242</v>
      </c>
      <c r="F192" t="inlineStr">
        <is>
          <t>ÖSTERGÖTLANDS LÄN</t>
        </is>
      </c>
      <c r="G192" t="inlineStr">
        <is>
          <t>MJÖLBY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44957</v>
      </c>
      <c r="E193" s="1" t="n">
        <v>46242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46242</v>
      </c>
      <c r="F194" t="inlineStr">
        <is>
          <t>ÖSTERGÖTLANDS LÄN</t>
        </is>
      </c>
      <c r="G194" t="inlineStr">
        <is>
          <t>MJÖLBY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51630-2021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44462</v>
      </c>
      <c r="E195" s="1" t="n">
        <v>46242</v>
      </c>
      <c r="F195" t="inlineStr">
        <is>
          <t>ÖSTERGÖTLANDS LÄN</t>
        </is>
      </c>
      <c r="G195" t="inlineStr">
        <is>
          <t>MJÖLBY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45401</v>
      </c>
      <c r="E196" s="1" t="n">
        <v>46242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45580</v>
      </c>
      <c r="E197" s="1" t="n">
        <v>46242</v>
      </c>
      <c r="F197" t="inlineStr">
        <is>
          <t>ÖSTERGÖTLANDS LÄN</t>
        </is>
      </c>
      <c r="G197" t="inlineStr">
        <is>
          <t>MJÖLBY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45602</v>
      </c>
      <c r="E198" s="1" t="n">
        <v>46242</v>
      </c>
      <c r="F198" t="inlineStr">
        <is>
          <t>ÖSTERGÖTLANDS LÄN</t>
        </is>
      </c>
      <c r="G198" t="inlineStr">
        <is>
          <t>MJÖLBY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45342</v>
      </c>
      <c r="E199" s="1" t="n">
        <v>46242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Kyrkan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44888</v>
      </c>
      <c r="E200" s="1" t="n">
        <v>46242</v>
      </c>
      <c r="F200" t="inlineStr">
        <is>
          <t>ÖSTERGÖTLANDS LÄN</t>
        </is>
      </c>
      <c r="G200" t="inlineStr">
        <is>
          <t>MJÖLBY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46242</v>
      </c>
      <c r="F201" t="inlineStr">
        <is>
          <t>ÖSTERGÖTLANDS LÄN</t>
        </is>
      </c>
      <c r="G201" t="inlineStr">
        <is>
          <t>MJÖLBY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45146</v>
      </c>
      <c r="E202" s="1" t="n">
        <v>46242</v>
      </c>
      <c r="F202" t="inlineStr">
        <is>
          <t>ÖSTERGÖTLANDS LÄN</t>
        </is>
      </c>
      <c r="G202" t="inlineStr">
        <is>
          <t>MJÖLBY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46242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45020</v>
      </c>
      <c r="E204" s="1" t="n">
        <v>46242</v>
      </c>
      <c r="F204" t="inlineStr">
        <is>
          <t>ÖSTERGÖTLANDS LÄN</t>
        </is>
      </c>
      <c r="G204" t="inlineStr">
        <is>
          <t>MJÖLBY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72558-2021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44546</v>
      </c>
      <c r="E205" s="1" t="n">
        <v>46242</v>
      </c>
      <c r="F205" t="inlineStr">
        <is>
          <t>ÖSTERGÖTLANDS LÄN</t>
        </is>
      </c>
      <c r="G205" t="inlineStr">
        <is>
          <t>MJÖLBY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46242</v>
      </c>
      <c r="F206" t="inlineStr">
        <is>
          <t>ÖSTERGÖTLANDS LÄN</t>
        </is>
      </c>
      <c r="G206" t="inlineStr">
        <is>
          <t>MJÖLBY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45293</v>
      </c>
      <c r="E207" s="1" t="n">
        <v>46242</v>
      </c>
      <c r="F207" t="inlineStr">
        <is>
          <t>ÖSTERGÖTLANDS LÄN</t>
        </is>
      </c>
      <c r="G207" t="inlineStr">
        <is>
          <t>MJÖLBY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66977-2021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46242</v>
      </c>
      <c r="F208" t="inlineStr">
        <is>
          <t>ÖSTERGÖTLANDS LÄN</t>
        </is>
      </c>
      <c r="G208" t="inlineStr">
        <is>
          <t>MJÖLBY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49566-2021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44455</v>
      </c>
      <c r="E209" s="1" t="n">
        <v>46242</v>
      </c>
      <c r="F209" t="inlineStr">
        <is>
          <t>ÖSTERGÖTLANDS LÄN</t>
        </is>
      </c>
      <c r="G209" t="inlineStr">
        <is>
          <t>MJÖLBY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46242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Kyrkan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46242</v>
      </c>
      <c r="F211" t="inlineStr">
        <is>
          <t>ÖSTERGÖTLANDS LÄN</t>
        </is>
      </c>
      <c r="G211" t="inlineStr">
        <is>
          <t>MJÖLBY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46242</v>
      </c>
      <c r="F212" t="inlineStr">
        <is>
          <t>ÖSTERGÖTLANDS LÄN</t>
        </is>
      </c>
      <c r="G212" t="inlineStr">
        <is>
          <t>MJÖLBY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45261</v>
      </c>
      <c r="E213" s="1" t="n">
        <v>46242</v>
      </c>
      <c r="F213" t="inlineStr">
        <is>
          <t>ÖSTERGÖTLANDS LÄN</t>
        </is>
      </c>
      <c r="G213" t="inlineStr">
        <is>
          <t>MJÖLBY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45526</v>
      </c>
      <c r="E214" s="1" t="n">
        <v>46242</v>
      </c>
      <c r="F214" t="inlineStr">
        <is>
          <t>ÖSTERGÖTLANDS LÄN</t>
        </is>
      </c>
      <c r="G214" t="inlineStr">
        <is>
          <t>MJÖLBY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46242</v>
      </c>
      <c r="F215" t="inlineStr">
        <is>
          <t>ÖSTERGÖTLANDS LÄN</t>
        </is>
      </c>
      <c r="G215" t="inlineStr">
        <is>
          <t>MJÖLBY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46242</v>
      </c>
      <c r="F216" t="inlineStr">
        <is>
          <t>ÖSTERGÖTLANDS LÄN</t>
        </is>
      </c>
      <c r="G216" t="inlineStr">
        <is>
          <t>MJÖLBY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46242</v>
      </c>
      <c r="F217" t="inlineStr">
        <is>
          <t>ÖSTERGÖTLANDS LÄN</t>
        </is>
      </c>
      <c r="G217" t="inlineStr">
        <is>
          <t>MJÖLBY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46242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38278-2024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45545</v>
      </c>
      <c r="E219" s="1" t="n">
        <v>46242</v>
      </c>
      <c r="F219" t="inlineStr">
        <is>
          <t>ÖSTERGÖTLANDS LÄN</t>
        </is>
      </c>
      <c r="G219" t="inlineStr">
        <is>
          <t>MJÖLBY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46242</v>
      </c>
      <c r="F220" t="inlineStr">
        <is>
          <t>ÖSTERGÖTLANDS LÄN</t>
        </is>
      </c>
      <c r="G220" t="inlineStr">
        <is>
          <t>MJÖLBY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46242</v>
      </c>
      <c r="F221" t="inlineStr">
        <is>
          <t>ÖSTERGÖTLANDS LÄN</t>
        </is>
      </c>
      <c r="G221" t="inlineStr">
        <is>
          <t>MJÖLBY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46242</v>
      </c>
      <c r="F222" t="inlineStr">
        <is>
          <t>ÖSTERGÖTLANDS LÄN</t>
        </is>
      </c>
      <c r="G222" t="inlineStr">
        <is>
          <t>MJÖLBY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46242</v>
      </c>
      <c r="F223" t="inlineStr">
        <is>
          <t>ÖSTERGÖTLANDS LÄN</t>
        </is>
      </c>
      <c r="G223" t="inlineStr">
        <is>
          <t>MJÖLBY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1827-2026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46197</v>
      </c>
      <c r="E224" s="1" t="n">
        <v>46242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2026-08-08T01:53:50Z</dcterms:created>
  <dcterms:modified xmlns:dcterms="http://purl.org/dc/terms/" xmlns:xsi="http://www.w3.org/2001/XMLSchema-instance" xsi:type="dcterms:W3CDTF">2026-08-08T01:53:50Z</dcterms:modified>
</cp:coreProperties>
</file>