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46296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46296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46296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46296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46296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22327-2024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46296</v>
      </c>
      <c r="F7" t="inlineStr">
        <is>
          <t>ÖSTERGÖTLANDS LÄN</t>
        </is>
      </c>
      <c r="G7" t="inlineStr">
        <is>
          <t>MJÖLBY</t>
        </is>
      </c>
      <c r="I7" t="n">
        <v>1.8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Svinrot</t>
        </is>
      </c>
      <c r="W7">
        <f>HYPERLINK("https://klasma.github.io/Logging_0586/artfynd/A 22327-2024 artfynd.xlsx", "A 22327-2024")</f>
        <v/>
      </c>
      <c r="X7">
        <f>HYPERLINK("https://klasma.github.io/Logging_0586/kartor/A 22327-2024 karta.png", "A 22327-2024")</f>
        <v/>
      </c>
      <c r="Y7">
        <f>HYPERLINK("https://klasma.github.io/Logging_0586/kartor_geotiff/A 22327-2024 georefererad karta.tif", "A 22327-2024")</f>
        <v/>
      </c>
      <c r="AA7">
        <f>HYPERLINK("https://klasma.github.io/Logging_0586/klagomål/A 22327-2024 FSC-klagomål.docx", "A 22327-2024")</f>
        <v/>
      </c>
      <c r="AB7">
        <f>HYPERLINK("https://klasma.github.io/Logging_0586/klagomålsmail/A 22327-2024 FSC-klagomål mail.docx", "A 22327-2024")</f>
        <v/>
      </c>
      <c r="AC7">
        <f>HYPERLINK("https://klasma.github.io/Logging_0586/tillsyn/A 22327-2024 tillsynsbegäran.docx", "A 22327-2024")</f>
        <v/>
      </c>
      <c r="AD7">
        <f>HYPERLINK("https://klasma.github.io/Logging_0586/tillsynsmail/A 22327-2024 tillsynsbegäran mail.docx", "A 22327-2024")</f>
        <v/>
      </c>
    </row>
    <row r="8" ht="15" customHeight="1">
      <c r="A8" t="inlineStr">
        <is>
          <t>A 45164-2023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45191</v>
      </c>
      <c r="E8" s="1" t="n">
        <v>46296</v>
      </c>
      <c r="F8" t="inlineStr">
        <is>
          <t>ÖSTERGÖTLANDS LÄN</t>
        </is>
      </c>
      <c r="G8" t="inlineStr">
        <is>
          <t>MJÖLBY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Skogsduva</t>
        </is>
      </c>
      <c r="W8">
        <f>HYPERLINK("https://klasma.github.io/Logging_0586/artfynd/A 45164-2023 artfynd.xlsx", "A 45164-2023")</f>
        <v/>
      </c>
      <c r="X8">
        <f>HYPERLINK("https://klasma.github.io/Logging_0586/kartor/A 45164-2023 karta.png", "A 45164-2023")</f>
        <v/>
      </c>
      <c r="Y8">
        <f>HYPERLINK("https://klasma.github.io/Logging_0586/kartor_geotiff/A 45164-2023 georefererad karta.tif", "A 45164-2023")</f>
        <v/>
      </c>
      <c r="AA8">
        <f>HYPERLINK("https://klasma.github.io/Logging_0586/klagomål/A 45164-2023 FSC-klagomål.docx", "A 45164-2023")</f>
        <v/>
      </c>
      <c r="AB8">
        <f>HYPERLINK("https://klasma.github.io/Logging_0586/klagomålsmail/A 45164-2023 FSC-klagomål mail.docx", "A 45164-2023")</f>
        <v/>
      </c>
      <c r="AC8">
        <f>HYPERLINK("https://klasma.github.io/Logging_0586/tillsyn/A 45164-2023 tillsynsbegäran.docx", "A 45164-2023")</f>
        <v/>
      </c>
      <c r="AD8">
        <f>HYPERLINK("https://klasma.github.io/Logging_0586/tillsynsmail/A 45164-2023 tillsynsbegäran mail.docx", "A 45164-2023")</f>
        <v/>
      </c>
    </row>
    <row r="9" ht="15" customHeight="1">
      <c r="A9" t="inlineStr">
        <is>
          <t>A 13567-2025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45736</v>
      </c>
      <c r="E9" s="1" t="n">
        <v>46296</v>
      </c>
      <c r="F9" t="inlineStr">
        <is>
          <t>ÖSTERGÖTLANDS LÄN</t>
        </is>
      </c>
      <c r="G9" t="inlineStr">
        <is>
          <t>MJÖLBY</t>
        </is>
      </c>
      <c r="I9" t="n">
        <v>4.1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Klubbsprötad bastardsvärmare</t>
        </is>
      </c>
      <c r="W9">
        <f>HYPERLINK("https://klasma.github.io/Logging_0586/artfynd/A 13567-2025 artfynd.xlsx", "A 13567-2025")</f>
        <v/>
      </c>
      <c r="X9">
        <f>HYPERLINK("https://klasma.github.io/Logging_0586/kartor/A 13567-2025 karta.png", "A 13567-2025")</f>
        <v/>
      </c>
      <c r="Y9">
        <f>HYPERLINK("https://klasma.github.io/Logging_0586/kartor_geotiff/A 13567-2025 georefererad karta.tif", "A 13567-2025")</f>
        <v/>
      </c>
      <c r="AA9">
        <f>HYPERLINK("https://klasma.github.io/Logging_0586/klagomål/A 13567-2025 FSC-klagomål.docx", "A 13567-2025")</f>
        <v/>
      </c>
      <c r="AB9">
        <f>HYPERLINK("https://klasma.github.io/Logging_0586/klagomålsmail/A 13567-2025 FSC-klagomål mail.docx", "A 13567-2025")</f>
        <v/>
      </c>
      <c r="AC9">
        <f>HYPERLINK("https://klasma.github.io/Logging_0586/tillsyn/A 13567-2025 tillsynsbegäran.docx", "A 13567-2025")</f>
        <v/>
      </c>
      <c r="AD9">
        <f>HYPERLINK("https://klasma.github.io/Logging_0586/tillsynsmail/A 13567-2025 tillsynsbegäran mail.docx", "A 13567-2025")</f>
        <v/>
      </c>
    </row>
    <row r="10" ht="15" customHeight="1">
      <c r="A10" t="inlineStr">
        <is>
          <t>A 53521-2023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45230</v>
      </c>
      <c r="E10" s="1" t="n">
        <v>46296</v>
      </c>
      <c r="F10" t="inlineStr">
        <is>
          <t>ÖSTERGÖTLANDS LÄN</t>
        </is>
      </c>
      <c r="G10" t="inlineStr">
        <is>
          <t>MJÖLBY</t>
        </is>
      </c>
      <c r="I10" t="n">
        <v>1.9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Skogsduva</t>
        </is>
      </c>
      <c r="W10">
        <f>HYPERLINK("https://klasma.github.io/Logging_0586/artfynd/A 53521-2023 artfynd.xlsx", "A 53521-2023")</f>
        <v/>
      </c>
      <c r="X10">
        <f>HYPERLINK("https://klasma.github.io/Logging_0586/kartor/A 53521-2023 karta.png", "A 53521-2023")</f>
        <v/>
      </c>
      <c r="Y10">
        <f>HYPERLINK("https://klasma.github.io/Logging_0586/kartor_geotiff/A 53521-2023 georefererad karta.tif", "A 53521-2023")</f>
        <v/>
      </c>
      <c r="AA10">
        <f>HYPERLINK("https://klasma.github.io/Logging_0586/klagomål/A 53521-2023 FSC-klagomål.docx", "A 53521-2023")</f>
        <v/>
      </c>
      <c r="AB10">
        <f>HYPERLINK("https://klasma.github.io/Logging_0586/klagomålsmail/A 53521-2023 FSC-klagomål mail.docx", "A 53521-2023")</f>
        <v/>
      </c>
      <c r="AC10">
        <f>HYPERLINK("https://klasma.github.io/Logging_0586/tillsyn/A 53521-2023 tillsynsbegäran.docx", "A 53521-2023")</f>
        <v/>
      </c>
      <c r="AD10">
        <f>HYPERLINK("https://klasma.github.io/Logging_0586/tillsynsmail/A 53521-2023 tillsynsbegäran mail.docx", "A 53521-2023")</f>
        <v/>
      </c>
    </row>
    <row r="11" ht="15" customHeight="1">
      <c r="A11" t="inlineStr">
        <is>
          <t>A 2230-2025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46296</v>
      </c>
      <c r="F11" t="inlineStr">
        <is>
          <t>ÖSTERGÖTLANDS LÄN</t>
        </is>
      </c>
      <c r="G11" t="inlineStr">
        <is>
          <t>MJÖLBY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Fläcknycklar</t>
        </is>
      </c>
      <c r="W11">
        <f>HYPERLINK("https://klasma.github.io/Logging_0586/artfynd/A 2230-2025 artfynd.xlsx", "A 2230-2025")</f>
        <v/>
      </c>
      <c r="X11">
        <f>HYPERLINK("https://klasma.github.io/Logging_0586/kartor/A 2230-2025 karta.png", "A 2230-2025")</f>
        <v/>
      </c>
      <c r="Y11">
        <f>HYPERLINK("https://klasma.github.io/Logging_0586/kartor_geotiff/A 2230-2025 georefererad karta.tif", "A 2230-2025")</f>
        <v/>
      </c>
      <c r="AA11">
        <f>HYPERLINK("https://klasma.github.io/Logging_0586/klagomål/A 2230-2025 FSC-klagomål.docx", "A 2230-2025")</f>
        <v/>
      </c>
      <c r="AB11">
        <f>HYPERLINK("https://klasma.github.io/Logging_0586/klagomålsmail/A 2230-2025 FSC-klagomål mail.docx", "A 2230-2025")</f>
        <v/>
      </c>
      <c r="AC11">
        <f>HYPERLINK("https://klasma.github.io/Logging_0586/tillsyn/A 2230-2025 tillsynsbegäran.docx", "A 2230-2025")</f>
        <v/>
      </c>
      <c r="AD11">
        <f>HYPERLINK("https://klasma.github.io/Logging_0586/tillsynsmail/A 2230-2025 tillsynsbegäran mail.docx", "A 2230-2025")</f>
        <v/>
      </c>
    </row>
    <row r="12" ht="15" customHeight="1">
      <c r="A12" t="inlineStr">
        <is>
          <t>A 60983-2023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45261</v>
      </c>
      <c r="E12" s="1" t="n">
        <v>46296</v>
      </c>
      <c r="F12" t="inlineStr">
        <is>
          <t>ÖSTERGÖTLANDS LÄN</t>
        </is>
      </c>
      <c r="G12" t="inlineStr">
        <is>
          <t>MJÖLBY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Grönvit nattviol</t>
        </is>
      </c>
      <c r="W12">
        <f>HYPERLINK("https://klasma.github.io/Logging_0586/artfynd/A 60983-2023 artfynd.xlsx", "A 60983-2023")</f>
        <v/>
      </c>
      <c r="X12">
        <f>HYPERLINK("https://klasma.github.io/Logging_0586/kartor/A 60983-2023 karta.png", "A 60983-2023")</f>
        <v/>
      </c>
      <c r="Y12">
        <f>HYPERLINK("https://klasma.github.io/Logging_0586/kartor_geotiff/A 60983-2023 georefererad karta.tif", "A 60983-2023")</f>
        <v/>
      </c>
      <c r="AA12">
        <f>HYPERLINK("https://klasma.github.io/Logging_0586/klagomål/A 60983-2023 FSC-klagomål.docx", "A 60983-2023")</f>
        <v/>
      </c>
      <c r="AB12">
        <f>HYPERLINK("https://klasma.github.io/Logging_0586/klagomålsmail/A 60983-2023 FSC-klagomål mail.docx", "A 60983-2023")</f>
        <v/>
      </c>
      <c r="AC12">
        <f>HYPERLINK("https://klasma.github.io/Logging_0586/tillsyn/A 60983-2023 tillsynsbegäran.docx", "A 60983-2023")</f>
        <v/>
      </c>
      <c r="AD12">
        <f>HYPERLINK("https://klasma.github.io/Logging_0586/tillsynsmail/A 60983-2023 tillsynsbegäran mail.docx", "A 60983-2023")</f>
        <v/>
      </c>
    </row>
    <row r="13" ht="15" customHeight="1">
      <c r="A13" t="inlineStr">
        <is>
          <t>A 50403-2022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46296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2.4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1</v>
      </c>
      <c r="V13" s="2" t="inlineStr">
        <is>
          <t>Springkorn</t>
        </is>
      </c>
      <c r="W13">
        <f>HYPERLINK("https://klasma.github.io/Logging_0586/artfynd/A 50403-2022 artfynd.xlsx", "A 50403-2022")</f>
        <v/>
      </c>
      <c r="X13">
        <f>HYPERLINK("https://klasma.github.io/Logging_0586/kartor/A 50403-2022 karta.png", "A 50403-2022")</f>
        <v/>
      </c>
      <c r="Y13">
        <f>HYPERLINK("https://klasma.github.io/Logging_0586/kartor_geotiff/A 50403-2022 georefererad karta.tif", "A 50403-2022")</f>
        <v/>
      </c>
      <c r="AA13">
        <f>HYPERLINK("https://klasma.github.io/Logging_0586/klagomål/A 50403-2022 FSC-klagomål.docx", "A 50403-2022")</f>
        <v/>
      </c>
      <c r="AB13">
        <f>HYPERLINK("https://klasma.github.io/Logging_0586/klagomålsmail/A 50403-2022 FSC-klagomål mail.docx", "A 50403-2022")</f>
        <v/>
      </c>
      <c r="AC13">
        <f>HYPERLINK("https://klasma.github.io/Logging_0586/tillsyn/A 50403-2022 tillsynsbegäran.docx", "A 50403-2022")</f>
        <v/>
      </c>
      <c r="AD13">
        <f>HYPERLINK("https://klasma.github.io/Logging_0586/tillsynsmail/A 50403-2022 tillsynsbegäran mail.docx", "A 50403-2022")</f>
        <v/>
      </c>
    </row>
    <row r="14" ht="15" customHeight="1">
      <c r="A14" t="inlineStr">
        <is>
          <t>A 54444-2021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44473</v>
      </c>
      <c r="E14" s="1" t="n">
        <v>46296</v>
      </c>
      <c r="F14" t="inlineStr">
        <is>
          <t>ÖSTERGÖTLANDS LÄN</t>
        </is>
      </c>
      <c r="G14" t="inlineStr">
        <is>
          <t>MJÖLBY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Ängshök</t>
        </is>
      </c>
      <c r="W14">
        <f>HYPERLINK("https://klasma.github.io/Logging_0586/artfynd/A 54444-2021 artfynd.xlsx", "A 54444-2021")</f>
        <v/>
      </c>
      <c r="X14">
        <f>HYPERLINK("https://klasma.github.io/Logging_0586/kartor/A 54444-2021 karta.png", "A 54444-2021")</f>
        <v/>
      </c>
      <c r="Y14">
        <f>HYPERLINK("https://klasma.github.io/Logging_0586/kartor_geotiff/A 54444-2021 georefererad karta.tif", "A 54444-2021")</f>
        <v/>
      </c>
      <c r="AA14">
        <f>HYPERLINK("https://klasma.github.io/Logging_0586/klagomål/A 54444-2021 FSC-klagomål.docx", "A 54444-2021")</f>
        <v/>
      </c>
      <c r="AB14">
        <f>HYPERLINK("https://klasma.github.io/Logging_0586/klagomålsmail/A 54444-2021 FSC-klagomål mail.docx", "A 54444-2021")</f>
        <v/>
      </c>
      <c r="AC14">
        <f>HYPERLINK("https://klasma.github.io/Logging_0586/tillsyn/A 54444-2021 tillsynsbegäran.docx", "A 54444-2021")</f>
        <v/>
      </c>
      <c r="AD14">
        <f>HYPERLINK("https://klasma.github.io/Logging_0586/tillsynsmail/A 54444-2021 tillsynsbegäran mail.docx", "A 54444-2021")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46296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33532-2024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45519</v>
      </c>
      <c r="E16" s="1" t="n">
        <v>46296</v>
      </c>
      <c r="F16" t="inlineStr">
        <is>
          <t>ÖSTERGÖTLANDS LÄN</t>
        </is>
      </c>
      <c r="G16" t="inlineStr">
        <is>
          <t>MJÖLBY</t>
        </is>
      </c>
      <c r="I16" t="n">
        <v>1.5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Backsippa</t>
        </is>
      </c>
      <c r="W16">
        <f>HYPERLINK("https://klasma.github.io/Logging_0586/artfynd/A 33532-2024 artfynd.xlsx", "A 33532-2024")</f>
        <v/>
      </c>
      <c r="X16">
        <f>HYPERLINK("https://klasma.github.io/Logging_0586/kartor/A 33532-2024 karta.png", "A 33532-2024")</f>
        <v/>
      </c>
      <c r="Y16">
        <f>HYPERLINK("https://klasma.github.io/Logging_0586/kartor_geotiff/A 33532-2024 georefererad karta.tif", "A 33532-2024")</f>
        <v/>
      </c>
      <c r="AA16">
        <f>HYPERLINK("https://klasma.github.io/Logging_0586/klagomål/A 33532-2024 FSC-klagomål.docx", "A 33532-2024")</f>
        <v/>
      </c>
      <c r="AB16">
        <f>HYPERLINK("https://klasma.github.io/Logging_0586/klagomålsmail/A 33532-2024 FSC-klagomål mail.docx", "A 33532-2024")</f>
        <v/>
      </c>
      <c r="AC16">
        <f>HYPERLINK("https://klasma.github.io/Logging_0586/tillsyn/A 33532-2024 tillsynsbegäran.docx", "A 33532-2024")</f>
        <v/>
      </c>
      <c r="AD16">
        <f>HYPERLINK("https://klasma.github.io/Logging_0586/tillsynsmail/A 33532-2024 tillsynsbegäran mail.docx", "A 33532-2024")</f>
        <v/>
      </c>
    </row>
    <row r="17" ht="15" customHeight="1">
      <c r="A17" t="inlineStr">
        <is>
          <t>A 7564-2025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45705</v>
      </c>
      <c r="E17" s="1" t="n">
        <v>46296</v>
      </c>
      <c r="F17" t="inlineStr">
        <is>
          <t>ÖSTERGÖTLANDS LÄN</t>
        </is>
      </c>
      <c r="G17" t="inlineStr">
        <is>
          <t>MJÖLBY</t>
        </is>
      </c>
      <c r="I17" t="n">
        <v>1.1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4</v>
      </c>
      <c r="U17" t="n">
        <v>4</v>
      </c>
      <c r="V17" s="2" t="inlineStr">
        <is>
          <t>Solvända</t>
        </is>
      </c>
      <c r="W17">
        <f>HYPERLINK("https://klasma.github.io/Logging_0586/artfynd/A 7564-2025 artfynd.xlsx", "A 7564-2025")</f>
        <v/>
      </c>
      <c r="X17">
        <f>HYPERLINK("https://klasma.github.io/Logging_0586/kartor/A 7564-2025 karta.png", "A 7564-2025")</f>
        <v/>
      </c>
      <c r="Y17">
        <f>HYPERLINK("https://klasma.github.io/Logging_0586/kartor_geotiff/A 7564-2025 georefererad karta.tif", "A 7564-2025")</f>
        <v/>
      </c>
      <c r="AA17">
        <f>HYPERLINK("https://klasma.github.io/Logging_0586/klagomål/A 7564-2025 FSC-klagomål.docx", "A 7564-2025")</f>
        <v/>
      </c>
      <c r="AB17">
        <f>HYPERLINK("https://klasma.github.io/Logging_0586/klagomålsmail/A 7564-2025 FSC-klagomål mail.docx", "A 7564-2025")</f>
        <v/>
      </c>
      <c r="AC17">
        <f>HYPERLINK("https://klasma.github.io/Logging_0586/tillsyn/A 7564-2025 tillsynsbegäran.docx", "A 7564-2025")</f>
        <v/>
      </c>
      <c r="AD17">
        <f>HYPERLINK("https://klasma.github.io/Logging_0586/tillsynsmail/A 7564-2025 tillsynsbegäran mail.docx", "A 7564-2025")</f>
        <v/>
      </c>
    </row>
    <row r="18" ht="15" customHeight="1">
      <c r="A18" t="inlineStr">
        <is>
          <t>A 41274-2025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46296</v>
      </c>
      <c r="F18" t="inlineStr">
        <is>
          <t>ÖSTERGÖTLANDS LÄN</t>
        </is>
      </c>
      <c r="G18" t="inlineStr">
        <is>
          <t>MJÖLBY</t>
        </is>
      </c>
      <c r="I18" t="n">
        <v>2.9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HYPERLINK("https://klasma.github.io/Logging_0586/artfynd/A 41274-2025 artfynd.xlsx", "A 41274-2025")</f>
        <v/>
      </c>
      <c r="X18">
        <f>HYPERLINK("https://klasma.github.io/Logging_0586/kartor/A 41274-2025 karta.png", "A 41274-2025")</f>
        <v/>
      </c>
      <c r="Y18">
        <f>HYPERLINK("https://klasma.github.io/Logging_0586/kartor_geotiff/A 41274-2025 georefererad karta.tif", "A 41274-2025")</f>
        <v/>
      </c>
      <c r="AA18">
        <f>HYPERLINK("https://klasma.github.io/Logging_0586/klagomål/A 41274-2025 FSC-klagomål.docx", "A 41274-2025")</f>
        <v/>
      </c>
      <c r="AB18">
        <f>HYPERLINK("https://klasma.github.io/Logging_0586/klagomålsmail/A 41274-2025 FSC-klagomål mail.docx", "A 41274-2025")</f>
        <v/>
      </c>
      <c r="AC18">
        <f>HYPERLINK("https://klasma.github.io/Logging_0586/tillsyn/A 41274-2025 tillsynsbegäran.docx", "A 41274-2025")</f>
        <v/>
      </c>
      <c r="AD18">
        <f>HYPERLINK("https://klasma.github.io/Logging_0586/tillsynsmail/A 41274-2025 tillsynsbegäran mail.docx", "A 41274-2025")</f>
        <v/>
      </c>
    </row>
    <row r="19" ht="15" customHeight="1">
      <c r="A19" t="inlineStr">
        <is>
          <t>A 46156-2025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45924</v>
      </c>
      <c r="E19" s="1" t="n">
        <v>46296</v>
      </c>
      <c r="F19" t="inlineStr">
        <is>
          <t>ÖSTERGÖTLANDS LÄN</t>
        </is>
      </c>
      <c r="G19" t="inlineStr">
        <is>
          <t>MJÖLBY</t>
        </is>
      </c>
      <c r="I19" t="n">
        <v>3.7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Tvåblad</t>
        </is>
      </c>
      <c r="W19">
        <f>HYPERLINK("https://klasma.github.io/Logging_0586/artfynd/A 46156-2025 artfynd.xlsx", "A 46156-2025")</f>
        <v/>
      </c>
      <c r="X19">
        <f>HYPERLINK("https://klasma.github.io/Logging_0586/kartor/A 46156-2025 karta.png", "A 46156-2025")</f>
        <v/>
      </c>
      <c r="Y19">
        <f>HYPERLINK("https://klasma.github.io/Logging_0586/kartor_geotiff/A 46156-2025 georefererad karta.tif", "A 46156-2025")</f>
        <v/>
      </c>
      <c r="AA19">
        <f>HYPERLINK("https://klasma.github.io/Logging_0586/klagomål/A 46156-2025 FSC-klagomål.docx", "A 46156-2025")</f>
        <v/>
      </c>
      <c r="AB19">
        <f>HYPERLINK("https://klasma.github.io/Logging_0586/klagomålsmail/A 46156-2025 FSC-klagomål mail.docx", "A 46156-2025")</f>
        <v/>
      </c>
      <c r="AC19">
        <f>HYPERLINK("https://klasma.github.io/Logging_0586/tillsyn/A 46156-2025 tillsynsbegäran.docx", "A 46156-2025")</f>
        <v/>
      </c>
      <c r="AD19">
        <f>HYPERLINK("https://klasma.github.io/Logging_0586/tillsynsmail/A 46156-2025 tillsynsbegäran mail.docx", "A 46156-2025")</f>
        <v/>
      </c>
    </row>
    <row r="20" ht="15" customHeight="1">
      <c r="A20" t="inlineStr">
        <is>
          <t>A 46123-2025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45924</v>
      </c>
      <c r="E20" s="1" t="n">
        <v>46296</v>
      </c>
      <c r="F20" t="inlineStr">
        <is>
          <t>ÖSTERGÖTLANDS LÄN</t>
        </is>
      </c>
      <c r="G20" t="inlineStr">
        <is>
          <t>MJÖLBY</t>
        </is>
      </c>
      <c r="I20" t="n">
        <v>5.6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HYPERLINK("https://klasma.github.io/Logging_0586/artfynd/A 46123-2025 artfynd.xlsx", "A 46123-2025")</f>
        <v/>
      </c>
      <c r="X20">
        <f>HYPERLINK("https://klasma.github.io/Logging_0586/kartor/A 46123-2025 karta.png", "A 46123-2025")</f>
        <v/>
      </c>
      <c r="Y20">
        <f>HYPERLINK("https://klasma.github.io/Logging_0586/kartor_geotiff/A 46123-2025 georefererad karta.tif", "A 46123-2025")</f>
        <v/>
      </c>
      <c r="Z20">
        <f>HYPERLINK("https://klasma.github.io/Logging_0586/knärot/A 46123-2025 karta knärot.png", "A 46123-2025")</f>
        <v/>
      </c>
      <c r="AA20">
        <f>HYPERLINK("https://klasma.github.io/Logging_0586/klagomål/A 46123-2025 FSC-klagomål.docx", "A 46123-2025")</f>
        <v/>
      </c>
      <c r="AB20">
        <f>HYPERLINK("https://klasma.github.io/Logging_0586/klagomålsmail/A 46123-2025 FSC-klagomål mail.docx", "A 46123-2025")</f>
        <v/>
      </c>
      <c r="AC20">
        <f>HYPERLINK("https://klasma.github.io/Logging_0586/tillsyn/A 46123-2025 tillsynsbegäran.docx", "A 46123-2025")</f>
        <v/>
      </c>
      <c r="AD20">
        <f>HYPERLINK("https://klasma.github.io/Logging_0586/tillsynsmail/A 46123-2025 tillsynsbegäran mail.docx", "A 46123-2025")</f>
        <v/>
      </c>
    </row>
    <row r="21" ht="15" customHeight="1">
      <c r="A21" t="inlineStr">
        <is>
          <t>A 46522-2025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46296</v>
      </c>
      <c r="F21" t="inlineStr">
        <is>
          <t>ÖSTERGÖTLANDS LÄN</t>
        </is>
      </c>
      <c r="G21" t="inlineStr">
        <is>
          <t>MJÖLBY</t>
        </is>
      </c>
      <c r="H21" t="inlineStr">
        <is>
          <t>Sveaskog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HYPERLINK("https://klasma.github.io/Logging_0586/artfynd/A 46522-2025 artfynd.xlsx", "A 46522-2025")</f>
        <v/>
      </c>
      <c r="X21">
        <f>HYPERLINK("https://klasma.github.io/Logging_0586/kartor/A 46522-2025 karta.png", "A 46522-2025")</f>
        <v/>
      </c>
      <c r="Y21">
        <f>HYPERLINK("https://klasma.github.io/Logging_0586/kartor_geotiff/A 46522-2025 georefererad karta.tif", "A 46522-2025")</f>
        <v/>
      </c>
      <c r="AA21">
        <f>HYPERLINK("https://klasma.github.io/Logging_0586/klagomål/A 46522-2025 FSC-klagomål.docx", "A 46522-2025")</f>
        <v/>
      </c>
      <c r="AB21">
        <f>HYPERLINK("https://klasma.github.io/Logging_0586/klagomålsmail/A 46522-2025 FSC-klagomål mail.docx", "A 46522-2025")</f>
        <v/>
      </c>
      <c r="AC21">
        <f>HYPERLINK("https://klasma.github.io/Logging_0586/tillsyn/A 46522-2025 tillsynsbegäran.docx", "A 46522-2025")</f>
        <v/>
      </c>
      <c r="AD21">
        <f>HYPERLINK("https://klasma.github.io/Logging_0586/tillsynsmail/A 46522-2025 tillsynsbegäran mail.docx", "A 46522-2025")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46296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32573-2026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46296</v>
      </c>
      <c r="F23" t="inlineStr">
        <is>
          <t>ÖSTERGÖTLANDS LÄN</t>
        </is>
      </c>
      <c r="G23" t="inlineStr">
        <is>
          <t>MJÖLBY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HYPERLINK("https://klasma.github.io/Logging_0586/artfynd/A 32573-2026 artfynd.xlsx", "A 32573-2026")</f>
        <v/>
      </c>
      <c r="X23">
        <f>HYPERLINK("https://klasma.github.io/Logging_0586/kartor/A 32573-2026 karta.png", "A 32573-2026")</f>
        <v/>
      </c>
      <c r="Y23">
        <f>HYPERLINK("https://klasma.github.io/Logging_0586/kartor_geotiff/A 32573-2026 georefererad karta.tif", "A 32573-2026")</f>
        <v/>
      </c>
      <c r="AA23">
        <f>HYPERLINK("https://klasma.github.io/Logging_0586/klagomål/A 32573-2026 FSC-klagomål.docx", "A 32573-2026")</f>
        <v/>
      </c>
      <c r="AB23">
        <f>HYPERLINK("https://klasma.github.io/Logging_0586/klagomålsmail/A 32573-2026 FSC-klagomål mail.docx", "A 32573-2026")</f>
        <v/>
      </c>
      <c r="AC23">
        <f>HYPERLINK("https://klasma.github.io/Logging_0586/tillsyn/A 32573-2026 tillsynsbegäran.docx", "A 32573-2026")</f>
        <v/>
      </c>
      <c r="AD23">
        <f>HYPERLINK("https://klasma.github.io/Logging_0586/tillsynsmail/A 32573-2026 tillsynsbegäran mail.docx", "A 32573-2026")</f>
        <v/>
      </c>
    </row>
    <row r="24" ht="15" customHeight="1">
      <c r="A24" t="inlineStr">
        <is>
          <t>A 32554-2026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46296</v>
      </c>
      <c r="F24" t="inlineStr">
        <is>
          <t>ÖSTERGÖTLANDS LÄN</t>
        </is>
      </c>
      <c r="G24" t="inlineStr">
        <is>
          <t>MJÖLBY</t>
        </is>
      </c>
      <c r="H24" t="inlineStr">
        <is>
          <t>Övriga Aktiebolag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Purpurknipprot</t>
        </is>
      </c>
      <c r="W24">
        <f>HYPERLINK("https://klasma.github.io/Logging_0586/artfynd/A 32554-2026 artfynd.xlsx", "A 32554-2026")</f>
        <v/>
      </c>
      <c r="X24">
        <f>HYPERLINK("https://klasma.github.io/Logging_0586/kartor/A 32554-2026 karta.png", "A 32554-2026")</f>
        <v/>
      </c>
      <c r="Y24">
        <f>HYPERLINK("https://klasma.github.io/Logging_0586/kartor_geotiff/A 32554-2026 georefererad karta.tif", "A 32554-2026")</f>
        <v/>
      </c>
      <c r="AA24">
        <f>HYPERLINK("https://klasma.github.io/Logging_0586/klagomål/A 32554-2026 FSC-klagomål.docx", "A 32554-2026")</f>
        <v/>
      </c>
      <c r="AB24">
        <f>HYPERLINK("https://klasma.github.io/Logging_0586/klagomålsmail/A 32554-2026 FSC-klagomål mail.docx", "A 32554-2026")</f>
        <v/>
      </c>
      <c r="AC24">
        <f>HYPERLINK("https://klasma.github.io/Logging_0586/tillsyn/A 32554-2026 tillsynsbegäran.docx", "A 32554-2026")</f>
        <v/>
      </c>
      <c r="AD24">
        <f>HYPERLINK("https://klasma.github.io/Logging_0586/tillsynsmail/A 32554-2026 tillsynsbegäran mail.docx", "A 32554-2026")</f>
        <v/>
      </c>
    </row>
    <row r="25" ht="15" customHeight="1">
      <c r="A25" t="inlineStr">
        <is>
          <t>A 62852-2025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46296</v>
      </c>
      <c r="F25" t="inlineStr">
        <is>
          <t>ÖSTERGÖTLANDS LÄN</t>
        </is>
      </c>
      <c r="G25" t="inlineStr">
        <is>
          <t>MJÖLBY</t>
        </is>
      </c>
      <c r="H25" t="inlineStr">
        <is>
          <t>Kyrkan</t>
        </is>
      </c>
      <c r="I25" t="n">
        <v>3.1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HYPERLINK("https://klasma.github.io/Logging_0586/artfynd/A 62852-2025 artfynd.xlsx", "A 62852-2025")</f>
        <v/>
      </c>
      <c r="X25">
        <f>HYPERLINK("https://klasma.github.io/Logging_0586/kartor/A 62852-2025 karta.png", "A 62852-2025")</f>
        <v/>
      </c>
      <c r="Y25">
        <f>HYPERLINK("https://klasma.github.io/Logging_0586/kartor_geotiff/A 62852-2025 georefererad karta.tif", "A 62852-2025")</f>
        <v/>
      </c>
      <c r="AA25">
        <f>HYPERLINK("https://klasma.github.io/Logging_0586/klagomål/A 62852-2025 FSC-klagomål.docx", "A 62852-2025")</f>
        <v/>
      </c>
      <c r="AB25">
        <f>HYPERLINK("https://klasma.github.io/Logging_0586/klagomålsmail/A 62852-2025 FSC-klagomål mail.docx", "A 62852-2025")</f>
        <v/>
      </c>
      <c r="AC25">
        <f>HYPERLINK("https://klasma.github.io/Logging_0586/tillsyn/A 62852-2025 tillsynsbegäran.docx", "A 62852-2025")</f>
        <v/>
      </c>
      <c r="AD25">
        <f>HYPERLINK("https://klasma.github.io/Logging_0586/tillsynsmail/A 62852-2025 tillsynsbegäran mail.docx", "A 62852-2025")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46296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46296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46296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1552-2022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44573</v>
      </c>
      <c r="E29" s="1" t="n">
        <v>46296</v>
      </c>
      <c r="F29" t="inlineStr">
        <is>
          <t>ÖSTERGÖTLANDS LÄN</t>
        </is>
      </c>
      <c r="G29" t="inlineStr">
        <is>
          <t>MJÖLBY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46296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44951</v>
      </c>
      <c r="E31" s="1" t="n">
        <v>46296</v>
      </c>
      <c r="F31" t="inlineStr">
        <is>
          <t>ÖSTERGÖTLANDS LÄN</t>
        </is>
      </c>
      <c r="G31" t="inlineStr">
        <is>
          <t>MJÖLBY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19352-2022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44692</v>
      </c>
      <c r="E32" s="1" t="n">
        <v>46296</v>
      </c>
      <c r="F32" t="inlineStr">
        <is>
          <t>ÖSTERGÖTLANDS LÄN</t>
        </is>
      </c>
      <c r="G32" t="inlineStr">
        <is>
          <t>MJÖLBY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46296</v>
      </c>
      <c r="F33" t="inlineStr">
        <is>
          <t>ÖSTERGÖTLANDS LÄN</t>
        </is>
      </c>
      <c r="G33" t="inlineStr">
        <is>
          <t>MJÖLBY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46296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45250</v>
      </c>
      <c r="E35" s="1" t="n">
        <v>46296</v>
      </c>
      <c r="F35" t="inlineStr">
        <is>
          <t>ÖSTERGÖTLANDS LÄN</t>
        </is>
      </c>
      <c r="G35" t="inlineStr">
        <is>
          <t>MJÖLBY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63449-2023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45273</v>
      </c>
      <c r="E36" s="1" t="n">
        <v>46296</v>
      </c>
      <c r="F36" t="inlineStr">
        <is>
          <t>ÖSTERGÖTLANDS LÄN</t>
        </is>
      </c>
      <c r="G36" t="inlineStr">
        <is>
          <t>MJÖLBY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60969-2023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45261</v>
      </c>
      <c r="E37" s="1" t="n">
        <v>46296</v>
      </c>
      <c r="F37" t="inlineStr">
        <is>
          <t>ÖSTERGÖTLANDS LÄN</t>
        </is>
      </c>
      <c r="G37" t="inlineStr">
        <is>
          <t>MJÖLBY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35404-2023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45146</v>
      </c>
      <c r="E38" s="1" t="n">
        <v>46296</v>
      </c>
      <c r="F38" t="inlineStr">
        <is>
          <t>ÖSTERGÖTLANDS LÄN</t>
        </is>
      </c>
      <c r="G38" t="inlineStr">
        <is>
          <t>MJÖLBY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60964-2023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45261</v>
      </c>
      <c r="E39" s="1" t="n">
        <v>46296</v>
      </c>
      <c r="F39" t="inlineStr">
        <is>
          <t>ÖSTERGÖTLANDS LÄN</t>
        </is>
      </c>
      <c r="G39" t="inlineStr">
        <is>
          <t>MJÖLBY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61012-2023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45259</v>
      </c>
      <c r="E40" s="1" t="n">
        <v>46296</v>
      </c>
      <c r="F40" t="inlineStr">
        <is>
          <t>ÖSTERGÖTLANDS LÄN</t>
        </is>
      </c>
      <c r="G40" t="inlineStr">
        <is>
          <t>MJÖLBY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45681</v>
      </c>
      <c r="E41" s="1" t="n">
        <v>46296</v>
      </c>
      <c r="F41" t="inlineStr">
        <is>
          <t>ÖSTERGÖTLANDS LÄN</t>
        </is>
      </c>
      <c r="G41" t="inlineStr">
        <is>
          <t>MJÖLBY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45152</v>
      </c>
      <c r="E42" s="1" t="n">
        <v>46296</v>
      </c>
      <c r="F42" t="inlineStr">
        <is>
          <t>ÖSTERGÖTLANDS LÄN</t>
        </is>
      </c>
      <c r="G42" t="inlineStr">
        <is>
          <t>MJÖLBY</t>
        </is>
      </c>
      <c r="H42" t="inlineStr">
        <is>
          <t>Allmännings- och besparingsskogar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50886-2024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46296</v>
      </c>
      <c r="F43" t="inlineStr">
        <is>
          <t>ÖSTERGÖTLANDS LÄN</t>
        </is>
      </c>
      <c r="G43" t="inlineStr">
        <is>
          <t>MJÖLBY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45020</v>
      </c>
      <c r="E44" s="1" t="n">
        <v>46296</v>
      </c>
      <c r="F44" t="inlineStr">
        <is>
          <t>ÖSTERGÖTLANDS LÄN</t>
        </is>
      </c>
      <c r="G44" t="inlineStr">
        <is>
          <t>MJÖLBY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45009</v>
      </c>
      <c r="E45" s="1" t="n">
        <v>46296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46296</v>
      </c>
      <c r="F46" t="inlineStr">
        <is>
          <t>ÖSTERGÖTLANDS LÄN</t>
        </is>
      </c>
      <c r="G46" t="inlineStr">
        <is>
          <t>MJÖLBY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45674</v>
      </c>
      <c r="E47" s="1" t="n">
        <v>46296</v>
      </c>
      <c r="F47" t="inlineStr">
        <is>
          <t>ÖSTERGÖTLANDS LÄN</t>
        </is>
      </c>
      <c r="G47" t="inlineStr">
        <is>
          <t>MJÖLBY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42042-2023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45177</v>
      </c>
      <c r="E48" s="1" t="n">
        <v>46296</v>
      </c>
      <c r="F48" t="inlineStr">
        <is>
          <t>ÖSTERGÖTLANDS LÄN</t>
        </is>
      </c>
      <c r="G48" t="inlineStr">
        <is>
          <t>MJÖLBY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65921-2021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46296</v>
      </c>
      <c r="F49" t="inlineStr">
        <is>
          <t>ÖSTERGÖTLANDS LÄN</t>
        </is>
      </c>
      <c r="G49" t="inlineStr">
        <is>
          <t>MJÖLBY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35447-2023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46296</v>
      </c>
      <c r="F50" t="inlineStr">
        <is>
          <t>ÖSTERGÖTLANDS LÄN</t>
        </is>
      </c>
      <c r="G50" t="inlineStr">
        <is>
          <t>MJÖLBY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45293</v>
      </c>
      <c r="E51" s="1" t="n">
        <v>46296</v>
      </c>
      <c r="F51" t="inlineStr">
        <is>
          <t>ÖSTERGÖTLANDS LÄN</t>
        </is>
      </c>
      <c r="G51" t="inlineStr">
        <is>
          <t>MJÖLBY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46296</v>
      </c>
      <c r="F52" t="inlineStr">
        <is>
          <t>ÖSTERGÖTLANDS LÄN</t>
        </is>
      </c>
      <c r="G52" t="inlineStr">
        <is>
          <t>MJÖLBY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50181-2023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45208</v>
      </c>
      <c r="E53" s="1" t="n">
        <v>46296</v>
      </c>
      <c r="F53" t="inlineStr">
        <is>
          <t>ÖSTERGÖTLANDS LÄN</t>
        </is>
      </c>
      <c r="G53" t="inlineStr">
        <is>
          <t>MJÖLBY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64934-2023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45282</v>
      </c>
      <c r="E54" s="1" t="n">
        <v>46296</v>
      </c>
      <c r="F54" t="inlineStr">
        <is>
          <t>ÖSTERGÖTLANDS LÄN</t>
        </is>
      </c>
      <c r="G54" t="inlineStr">
        <is>
          <t>MJÖLBY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45159</v>
      </c>
      <c r="E55" s="1" t="n">
        <v>46296</v>
      </c>
      <c r="F55" t="inlineStr">
        <is>
          <t>ÖSTERGÖTLANDS LÄN</t>
        </is>
      </c>
      <c r="G55" t="inlineStr">
        <is>
          <t>MJÖLBY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46296</v>
      </c>
      <c r="F56" t="inlineStr">
        <is>
          <t>ÖSTERGÖTLANDS LÄN</t>
        </is>
      </c>
      <c r="G56" t="inlineStr">
        <is>
          <t>MJÖLBY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44936</v>
      </c>
      <c r="E57" s="1" t="n">
        <v>46296</v>
      </c>
      <c r="F57" t="inlineStr">
        <is>
          <t>ÖSTERGÖTLANDS LÄN</t>
        </is>
      </c>
      <c r="G57" t="inlineStr">
        <is>
          <t>MJÖLBY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59410-2022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44907</v>
      </c>
      <c r="E58" s="1" t="n">
        <v>46296</v>
      </c>
      <c r="F58" t="inlineStr">
        <is>
          <t>ÖSTERGÖTLANDS LÄN</t>
        </is>
      </c>
      <c r="G58" t="inlineStr">
        <is>
          <t>MJÖLBY</t>
        </is>
      </c>
      <c r="H58" t="inlineStr">
        <is>
          <t>Övriga Aktiebolag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59411-2022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44907</v>
      </c>
      <c r="E59" s="1" t="n">
        <v>46296</v>
      </c>
      <c r="F59" t="inlineStr">
        <is>
          <t>ÖSTERGÖTLANDS LÄN</t>
        </is>
      </c>
      <c r="G59" t="inlineStr">
        <is>
          <t>MJÖLBY</t>
        </is>
      </c>
      <c r="H59" t="inlineStr">
        <is>
          <t>Övriga Aktiebolag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66977-2021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46296</v>
      </c>
      <c r="F60" t="inlineStr">
        <is>
          <t>ÖSTERGÖTLANDS LÄN</t>
        </is>
      </c>
      <c r="G60" t="inlineStr">
        <is>
          <t>MJÖLBY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45677</v>
      </c>
      <c r="E61" s="1" t="n">
        <v>46296</v>
      </c>
      <c r="F61" t="inlineStr">
        <is>
          <t>ÖSTERGÖTLANDS LÄN</t>
        </is>
      </c>
      <c r="G61" t="inlineStr">
        <is>
          <t>MJÖLBY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16304-2024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45407</v>
      </c>
      <c r="E62" s="1" t="n">
        <v>46296</v>
      </c>
      <c r="F62" t="inlineStr">
        <is>
          <t>ÖSTERGÖTLANDS LÄN</t>
        </is>
      </c>
      <c r="G62" t="inlineStr">
        <is>
          <t>MJÖLBY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46296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10984-2024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46296</v>
      </c>
      <c r="F64" t="inlineStr">
        <is>
          <t>ÖSTERGÖTLANDS LÄN</t>
        </is>
      </c>
      <c r="G64" t="inlineStr">
        <is>
          <t>MJÖLBY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34521-2024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45525</v>
      </c>
      <c r="E65" s="1" t="n">
        <v>46296</v>
      </c>
      <c r="F65" t="inlineStr">
        <is>
          <t>ÖSTERGÖTLANDS LÄN</t>
        </is>
      </c>
      <c r="G65" t="inlineStr">
        <is>
          <t>MJÖLBY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46296</v>
      </c>
      <c r="F66" t="inlineStr">
        <is>
          <t>ÖSTERGÖTLANDS LÄN</t>
        </is>
      </c>
      <c r="G66" t="inlineStr">
        <is>
          <t>MJÖLBY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43012-2024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45567</v>
      </c>
      <c r="E67" s="1" t="n">
        <v>46296</v>
      </c>
      <c r="F67" t="inlineStr">
        <is>
          <t>ÖSTERGÖTLANDS LÄN</t>
        </is>
      </c>
      <c r="G67" t="inlineStr">
        <is>
          <t>MJÖLBY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46296</v>
      </c>
      <c r="F68" t="inlineStr">
        <is>
          <t>ÖSTERGÖTLANDS LÄN</t>
        </is>
      </c>
      <c r="G68" t="inlineStr">
        <is>
          <t>MJÖLBY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15276-2022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46296</v>
      </c>
      <c r="F69" t="inlineStr">
        <is>
          <t>ÖSTERGÖTLANDS LÄN</t>
        </is>
      </c>
      <c r="G69" t="inlineStr">
        <is>
          <t>MJÖLBY</t>
        </is>
      </c>
      <c r="H69" t="inlineStr">
        <is>
          <t>Kyrkan</t>
        </is>
      </c>
      <c r="I69" t="n">
        <v>7.6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46296</v>
      </c>
      <c r="F70" t="inlineStr">
        <is>
          <t>ÖSTERGÖTLANDS LÄN</t>
        </is>
      </c>
      <c r="G70" t="inlineStr">
        <is>
          <t>MJÖLBY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46296</v>
      </c>
      <c r="F71" t="inlineStr">
        <is>
          <t>ÖSTERGÖTLANDS LÄN</t>
        </is>
      </c>
      <c r="G71" t="inlineStr">
        <is>
          <t>MJÖLBY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45217</v>
      </c>
      <c r="E72" s="1" t="n">
        <v>46296</v>
      </c>
      <c r="F72" t="inlineStr">
        <is>
          <t>ÖSTERGÖTLANDS LÄN</t>
        </is>
      </c>
      <c r="G72" t="inlineStr">
        <is>
          <t>MJÖLBY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46248-2024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45581</v>
      </c>
      <c r="E73" s="1" t="n">
        <v>46296</v>
      </c>
      <c r="F73" t="inlineStr">
        <is>
          <t>ÖSTERGÖTLANDS LÄN</t>
        </is>
      </c>
      <c r="G73" t="inlineStr">
        <is>
          <t>MJÖLBY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45261</v>
      </c>
      <c r="E74" s="1" t="n">
        <v>46296</v>
      </c>
      <c r="F74" t="inlineStr">
        <is>
          <t>ÖSTERGÖTLANDS LÄN</t>
        </is>
      </c>
      <c r="G74" t="inlineStr">
        <is>
          <t>MJÖLBY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11944-2024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45376</v>
      </c>
      <c r="E75" s="1" t="n">
        <v>46296</v>
      </c>
      <c r="F75" t="inlineStr">
        <is>
          <t>ÖSTERGÖTLANDS LÄN</t>
        </is>
      </c>
      <c r="G75" t="inlineStr">
        <is>
          <t>MJÖLBY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45526</v>
      </c>
      <c r="E76" s="1" t="n">
        <v>46296</v>
      </c>
      <c r="F76" t="inlineStr">
        <is>
          <t>ÖSTERGÖTLANDS LÄN</t>
        </is>
      </c>
      <c r="G76" t="inlineStr">
        <is>
          <t>MJÖLBY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45261</v>
      </c>
      <c r="E77" s="1" t="n">
        <v>46296</v>
      </c>
      <c r="F77" t="inlineStr">
        <is>
          <t>ÖSTERGÖTLANDS LÄN</t>
        </is>
      </c>
      <c r="G77" t="inlineStr">
        <is>
          <t>MJÖLBY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12253-2024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46296</v>
      </c>
      <c r="F78" t="inlineStr">
        <is>
          <t>ÖSTERGÖTLANDS LÄN</t>
        </is>
      </c>
      <c r="G78" t="inlineStr">
        <is>
          <t>MJÖLBY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45378</v>
      </c>
      <c r="E79" s="1" t="n">
        <v>46296</v>
      </c>
      <c r="F79" t="inlineStr">
        <is>
          <t>ÖSTERGÖTLANDS LÄN</t>
        </is>
      </c>
      <c r="G79" t="inlineStr">
        <is>
          <t>MJÖLBY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45681</v>
      </c>
      <c r="E80" s="1" t="n">
        <v>46296</v>
      </c>
      <c r="F80" t="inlineStr">
        <is>
          <t>ÖSTERGÖTLANDS LÄN</t>
        </is>
      </c>
      <c r="G80" t="inlineStr">
        <is>
          <t>MJÖLBY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72563-2021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46296</v>
      </c>
      <c r="F81" t="inlineStr">
        <is>
          <t>ÖSTERGÖTLANDS LÄN</t>
        </is>
      </c>
      <c r="G81" t="inlineStr">
        <is>
          <t>MJÖLBY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45539</v>
      </c>
      <c r="E82" s="1" t="n">
        <v>46296</v>
      </c>
      <c r="F82" t="inlineStr">
        <is>
          <t>ÖSTERGÖTLANDS LÄN</t>
        </is>
      </c>
      <c r="G82" t="inlineStr">
        <is>
          <t>MJÖLBY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12675-2024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45384</v>
      </c>
      <c r="E83" s="1" t="n">
        <v>46296</v>
      </c>
      <c r="F83" t="inlineStr">
        <is>
          <t>ÖSTERGÖTLANDS LÄN</t>
        </is>
      </c>
      <c r="G83" t="inlineStr">
        <is>
          <t>MJÖLBY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46296</v>
      </c>
      <c r="F84" t="inlineStr">
        <is>
          <t>ÖSTERGÖTLANDS LÄN</t>
        </is>
      </c>
      <c r="G84" t="inlineStr">
        <is>
          <t>MJÖLBY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13560-2025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45736</v>
      </c>
      <c r="E85" s="1" t="n">
        <v>46296</v>
      </c>
      <c r="F85" t="inlineStr">
        <is>
          <t>ÖSTERGÖTLANDS LÄN</t>
        </is>
      </c>
      <c r="G85" t="inlineStr">
        <is>
          <t>MJÖLBY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38278-2024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46296</v>
      </c>
      <c r="F86" t="inlineStr">
        <is>
          <t>ÖSTERGÖTLANDS LÄN</t>
        </is>
      </c>
      <c r="G86" t="inlineStr">
        <is>
          <t>MJÖLBY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44904</v>
      </c>
      <c r="E87" s="1" t="n">
        <v>46296</v>
      </c>
      <c r="F87" t="inlineStr">
        <is>
          <t>ÖSTERGÖTLANDS LÄN</t>
        </is>
      </c>
      <c r="G87" t="inlineStr">
        <is>
          <t>MJÖLBY</t>
        </is>
      </c>
      <c r="H87" t="inlineStr">
        <is>
          <t>Övriga Aktiebolag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46296</v>
      </c>
      <c r="F88" t="inlineStr">
        <is>
          <t>ÖSTERGÖTLANDS LÄN</t>
        </is>
      </c>
      <c r="G88" t="inlineStr">
        <is>
          <t>MJÖLBY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46296</v>
      </c>
      <c r="F89" t="inlineStr">
        <is>
          <t>ÖSTERGÖTLANDS LÄN</t>
        </is>
      </c>
      <c r="G89" t="inlineStr">
        <is>
          <t>MJÖLBY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45314</v>
      </c>
      <c r="E90" s="1" t="n">
        <v>46296</v>
      </c>
      <c r="F90" t="inlineStr">
        <is>
          <t>ÖSTERGÖTLANDS LÄN</t>
        </is>
      </c>
      <c r="G90" t="inlineStr">
        <is>
          <t>MJÖLBY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46296</v>
      </c>
      <c r="F91" t="inlineStr">
        <is>
          <t>ÖSTERGÖTLANDS LÄN</t>
        </is>
      </c>
      <c r="G91" t="inlineStr">
        <is>
          <t>MJÖLBY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46296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52655-2023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45225</v>
      </c>
      <c r="E93" s="1" t="n">
        <v>46296</v>
      </c>
      <c r="F93" t="inlineStr">
        <is>
          <t>ÖSTERGÖTLANDS LÄN</t>
        </is>
      </c>
      <c r="G93" t="inlineStr">
        <is>
          <t>MJÖLBY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45666</v>
      </c>
      <c r="E94" s="1" t="n">
        <v>46296</v>
      </c>
      <c r="F94" t="inlineStr">
        <is>
          <t>ÖSTERGÖTLANDS LÄN</t>
        </is>
      </c>
      <c r="G94" t="inlineStr">
        <is>
          <t>MJÖLBY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24866-2023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45085</v>
      </c>
      <c r="E95" s="1" t="n">
        <v>46296</v>
      </c>
      <c r="F95" t="inlineStr">
        <is>
          <t>ÖSTERGÖTLANDS LÄN</t>
        </is>
      </c>
      <c r="G95" t="inlineStr">
        <is>
          <t>MJÖLBY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39950-2024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45553</v>
      </c>
      <c r="E96" s="1" t="n">
        <v>46296</v>
      </c>
      <c r="F96" t="inlineStr">
        <is>
          <t>ÖSTERGÖTLANDS LÄN</t>
        </is>
      </c>
      <c r="G96" t="inlineStr">
        <is>
          <t>MJÖLBY</t>
        </is>
      </c>
      <c r="H96" t="inlineStr">
        <is>
          <t>Kyrkan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46296</v>
      </c>
      <c r="F97" t="inlineStr">
        <is>
          <t>ÖSTERGÖTLANDS LÄN</t>
        </is>
      </c>
      <c r="G97" t="inlineStr">
        <is>
          <t>MJÖLBY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45446</v>
      </c>
      <c r="E98" s="1" t="n">
        <v>46296</v>
      </c>
      <c r="F98" t="inlineStr">
        <is>
          <t>ÖSTERGÖTLANDS LÄN</t>
        </is>
      </c>
      <c r="G98" t="inlineStr">
        <is>
          <t>MJÖLBY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45269</v>
      </c>
      <c r="E99" s="1" t="n">
        <v>46296</v>
      </c>
      <c r="F99" t="inlineStr">
        <is>
          <t>ÖSTERGÖTLANDS LÄN</t>
        </is>
      </c>
      <c r="G99" t="inlineStr">
        <is>
          <t>MJÖLBY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46296</v>
      </c>
      <c r="F100" t="inlineStr">
        <is>
          <t>ÖSTERGÖTLANDS LÄN</t>
        </is>
      </c>
      <c r="G100" t="inlineStr">
        <is>
          <t>MJÖLBY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45798</v>
      </c>
      <c r="E101" s="1" t="n">
        <v>46296</v>
      </c>
      <c r="F101" t="inlineStr">
        <is>
          <t>ÖSTERGÖTLANDS LÄN</t>
        </is>
      </c>
      <c r="G101" t="inlineStr">
        <is>
          <t>MJÖLBY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45602</v>
      </c>
      <c r="E102" s="1" t="n">
        <v>46296</v>
      </c>
      <c r="F102" t="inlineStr">
        <is>
          <t>ÖSTERGÖTLANDS LÄN</t>
        </is>
      </c>
      <c r="G102" t="inlineStr">
        <is>
          <t>MJÖLBY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46296</v>
      </c>
      <c r="F103" t="inlineStr">
        <is>
          <t>ÖSTERGÖTLANDS LÄN</t>
        </is>
      </c>
      <c r="G103" t="inlineStr">
        <is>
          <t>MJÖLBY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68095-2021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44526</v>
      </c>
      <c r="E104" s="1" t="n">
        <v>46296</v>
      </c>
      <c r="F104" t="inlineStr">
        <is>
          <t>ÖSTERGÖTLANDS LÄN</t>
        </is>
      </c>
      <c r="G104" t="inlineStr">
        <is>
          <t>MJÖLBY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46296</v>
      </c>
      <c r="F105" t="inlineStr">
        <is>
          <t>ÖSTERGÖTLANDS LÄN</t>
        </is>
      </c>
      <c r="G105" t="inlineStr">
        <is>
          <t>MJÖLBY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58800-2022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44903</v>
      </c>
      <c r="E106" s="1" t="n">
        <v>46296</v>
      </c>
      <c r="F106" t="inlineStr">
        <is>
          <t>ÖSTERGÖTLANDS LÄN</t>
        </is>
      </c>
      <c r="G106" t="inlineStr">
        <is>
          <t>MJÖLBY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44957</v>
      </c>
      <c r="E107" s="1" t="n">
        <v>46296</v>
      </c>
      <c r="F107" t="inlineStr">
        <is>
          <t>ÖSTERGÖTLANDS LÄN</t>
        </is>
      </c>
      <c r="G107" t="inlineStr">
        <is>
          <t>MJÖLBY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45372</v>
      </c>
      <c r="E108" s="1" t="n">
        <v>46296</v>
      </c>
      <c r="F108" t="inlineStr">
        <is>
          <t>ÖSTERGÖTLANDS LÄN</t>
        </is>
      </c>
      <c r="G108" t="inlineStr">
        <is>
          <t>MJÖLBY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45161</v>
      </c>
      <c r="E109" s="1" t="n">
        <v>46296</v>
      </c>
      <c r="F109" t="inlineStr">
        <is>
          <t>ÖSTERGÖTLANDS LÄN</t>
        </is>
      </c>
      <c r="G109" t="inlineStr">
        <is>
          <t>MJÖLBY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44946</v>
      </c>
      <c r="E110" s="1" t="n">
        <v>46296</v>
      </c>
      <c r="F110" t="inlineStr">
        <is>
          <t>ÖSTERGÖTLANDS LÄN</t>
        </is>
      </c>
      <c r="G110" t="inlineStr">
        <is>
          <t>MJÖLBY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27232-2025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46296</v>
      </c>
      <c r="F111" t="inlineStr">
        <is>
          <t>ÖSTERGÖTLANDS LÄN</t>
        </is>
      </c>
      <c r="G111" t="inlineStr">
        <is>
          <t>MJÖLBY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46296</v>
      </c>
      <c r="F112" t="inlineStr">
        <is>
          <t>ÖSTERGÖTLANDS LÄN</t>
        </is>
      </c>
      <c r="G112" t="inlineStr">
        <is>
          <t>MJÖLBY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46296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45580</v>
      </c>
      <c r="E114" s="1" t="n">
        <v>46296</v>
      </c>
      <c r="F114" t="inlineStr">
        <is>
          <t>ÖSTERGÖTLANDS LÄN</t>
        </is>
      </c>
      <c r="G114" t="inlineStr">
        <is>
          <t>MJÖLBY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4314-2024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45324</v>
      </c>
      <c r="E115" s="1" t="n">
        <v>46296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45384</v>
      </c>
      <c r="E116" s="1" t="n">
        <v>46296</v>
      </c>
      <c r="F116" t="inlineStr">
        <is>
          <t>ÖSTERGÖTLANDS LÄN</t>
        </is>
      </c>
      <c r="G116" t="inlineStr">
        <is>
          <t>MJÖLBY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40667-2023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46296</v>
      </c>
      <c r="F117" t="inlineStr">
        <is>
          <t>ÖSTERGÖTLANDS LÄN</t>
        </is>
      </c>
      <c r="G117" t="inlineStr">
        <is>
          <t>MJÖLBY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46296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45597</v>
      </c>
      <c r="E119" s="1" t="n">
        <v>46296</v>
      </c>
      <c r="F119" t="inlineStr">
        <is>
          <t>ÖSTERGÖTLANDS LÄN</t>
        </is>
      </c>
      <c r="G119" t="inlineStr">
        <is>
          <t>MJÖLBY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45602</v>
      </c>
      <c r="E120" s="1" t="n">
        <v>46296</v>
      </c>
      <c r="F120" t="inlineStr">
        <is>
          <t>ÖSTERGÖTLANDS LÄN</t>
        </is>
      </c>
      <c r="G120" t="inlineStr">
        <is>
          <t>MJÖLBY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46296</v>
      </c>
      <c r="F121" t="inlineStr">
        <is>
          <t>ÖSTERGÖTLANDS LÄN</t>
        </is>
      </c>
      <c r="G121" t="inlineStr">
        <is>
          <t>MJÖLBY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45793</v>
      </c>
      <c r="E122" s="1" t="n">
        <v>46296</v>
      </c>
      <c r="F122" t="inlineStr">
        <is>
          <t>ÖSTERGÖTLANDS LÄN</t>
        </is>
      </c>
      <c r="G122" t="inlineStr">
        <is>
          <t>MJÖLBY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31624-2025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46296</v>
      </c>
      <c r="F123" t="inlineStr">
        <is>
          <t>ÖSTERGÖTLANDS LÄN</t>
        </is>
      </c>
      <c r="G123" t="inlineStr">
        <is>
          <t>MJÖLBY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46296</v>
      </c>
      <c r="F124" t="inlineStr">
        <is>
          <t>ÖSTERGÖTLANDS LÄN</t>
        </is>
      </c>
      <c r="G124" t="inlineStr">
        <is>
          <t>MJÖLBY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46296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Kyrkan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44888</v>
      </c>
      <c r="E126" s="1" t="n">
        <v>46296</v>
      </c>
      <c r="F126" t="inlineStr">
        <is>
          <t>ÖSTERGÖTLANDS LÄN</t>
        </is>
      </c>
      <c r="G126" t="inlineStr">
        <is>
          <t>MJÖLBY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45176</v>
      </c>
      <c r="E127" s="1" t="n">
        <v>46296</v>
      </c>
      <c r="F127" t="inlineStr">
        <is>
          <t>ÖSTERGÖTLANDS LÄN</t>
        </is>
      </c>
      <c r="G127" t="inlineStr">
        <is>
          <t>MJÖLBY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58415-2021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44488</v>
      </c>
      <c r="E128" s="1" t="n">
        <v>46296</v>
      </c>
      <c r="F128" t="inlineStr">
        <is>
          <t>ÖSTERGÖTLANDS LÄN</t>
        </is>
      </c>
      <c r="G128" t="inlineStr">
        <is>
          <t>MJÖLBY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46296</v>
      </c>
      <c r="F129" t="inlineStr">
        <is>
          <t>ÖSTERGÖTLANDS LÄN</t>
        </is>
      </c>
      <c r="G129" t="inlineStr">
        <is>
          <t>MJÖLBY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46296</v>
      </c>
      <c r="F130" t="inlineStr">
        <is>
          <t>ÖSTERGÖTLANDS LÄN</t>
        </is>
      </c>
      <c r="G130" t="inlineStr">
        <is>
          <t>MJÖLBY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45216</v>
      </c>
      <c r="E131" s="1" t="n">
        <v>46296</v>
      </c>
      <c r="F131" t="inlineStr">
        <is>
          <t>ÖSTERGÖTLANDS LÄN</t>
        </is>
      </c>
      <c r="G131" t="inlineStr">
        <is>
          <t>MJÖLBY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22307-2024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46296</v>
      </c>
      <c r="F132" t="inlineStr">
        <is>
          <t>ÖSTERGÖTLANDS LÄN</t>
        </is>
      </c>
      <c r="G132" t="inlineStr">
        <is>
          <t>MJÖLBY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15783-2022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44663</v>
      </c>
      <c r="E133" s="1" t="n">
        <v>46296</v>
      </c>
      <c r="F133" t="inlineStr">
        <is>
          <t>ÖSTERGÖTLANDS LÄN</t>
        </is>
      </c>
      <c r="G133" t="inlineStr">
        <is>
          <t>MJÖLBY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44810</v>
      </c>
      <c r="E134" s="1" t="n">
        <v>46296</v>
      </c>
      <c r="F134" t="inlineStr">
        <is>
          <t>ÖSTERGÖTLANDS LÄN</t>
        </is>
      </c>
      <c r="G134" t="inlineStr">
        <is>
          <t>MJÖLBY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46296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Kommuner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44810</v>
      </c>
      <c r="E136" s="1" t="n">
        <v>46296</v>
      </c>
      <c r="F136" t="inlineStr">
        <is>
          <t>ÖSTERGÖTLANDS LÄN</t>
        </is>
      </c>
      <c r="G136" t="inlineStr">
        <is>
          <t>MJÖLBY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46296</v>
      </c>
      <c r="F137" t="inlineStr">
        <is>
          <t>ÖSTERGÖTLANDS LÄN</t>
        </is>
      </c>
      <c r="G137" t="inlineStr">
        <is>
          <t>MJÖLBY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45221</v>
      </c>
      <c r="E138" s="1" t="n">
        <v>46296</v>
      </c>
      <c r="F138" t="inlineStr">
        <is>
          <t>ÖSTERGÖTLANDS LÄN</t>
        </is>
      </c>
      <c r="G138" t="inlineStr">
        <is>
          <t>MJÖLBY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44971</v>
      </c>
      <c r="E139" s="1" t="n">
        <v>46296</v>
      </c>
      <c r="F139" t="inlineStr">
        <is>
          <t>ÖSTERGÖTLANDS LÄN</t>
        </is>
      </c>
      <c r="G139" t="inlineStr">
        <is>
          <t>MJÖLBY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46296</v>
      </c>
      <c r="F140" t="inlineStr">
        <is>
          <t>ÖSTERGÖTLANDS LÄN</t>
        </is>
      </c>
      <c r="G140" t="inlineStr">
        <is>
          <t>MJÖLBY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45950</v>
      </c>
      <c r="E141" s="1" t="n">
        <v>46296</v>
      </c>
      <c r="F141" t="inlineStr">
        <is>
          <t>ÖSTERGÖTLANDS LÄN</t>
        </is>
      </c>
      <c r="G141" t="inlineStr">
        <is>
          <t>MJÖLBY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51335-2025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46296</v>
      </c>
      <c r="F142" t="inlineStr">
        <is>
          <t>ÖSTERGÖTLANDS LÄN</t>
        </is>
      </c>
      <c r="G142" t="inlineStr">
        <is>
          <t>MJÖLBY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46296</v>
      </c>
      <c r="F143" t="inlineStr">
        <is>
          <t>ÖSTERGÖTLANDS LÄN</t>
        </is>
      </c>
      <c r="G143" t="inlineStr">
        <is>
          <t>MJÖLBY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46296</v>
      </c>
      <c r="F144" t="inlineStr">
        <is>
          <t>ÖSTERGÖTLANDS LÄN</t>
        </is>
      </c>
      <c r="G144" t="inlineStr">
        <is>
          <t>MJÖLBY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44769-2025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45917</v>
      </c>
      <c r="E145" s="1" t="n">
        <v>46296</v>
      </c>
      <c r="F145" t="inlineStr">
        <is>
          <t>ÖSTERGÖTLANDS LÄN</t>
        </is>
      </c>
      <c r="G145" t="inlineStr">
        <is>
          <t>MJÖLBY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46296</v>
      </c>
      <c r="F146" t="inlineStr">
        <is>
          <t>ÖSTERGÖTLANDS LÄN</t>
        </is>
      </c>
      <c r="G146" t="inlineStr">
        <is>
          <t>MJÖLBY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44770-2025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45917</v>
      </c>
      <c r="E147" s="1" t="n">
        <v>46296</v>
      </c>
      <c r="F147" t="inlineStr">
        <is>
          <t>ÖSTERGÖTLANDS LÄN</t>
        </is>
      </c>
      <c r="G147" t="inlineStr">
        <is>
          <t>MJÖLBY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45924</v>
      </c>
      <c r="E148" s="1" t="n">
        <v>46296</v>
      </c>
      <c r="F148" t="inlineStr">
        <is>
          <t>ÖSTERGÖTLANDS LÄN</t>
        </is>
      </c>
      <c r="G148" t="inlineStr">
        <is>
          <t>MJÖLBY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46296</v>
      </c>
      <c r="F149" t="inlineStr">
        <is>
          <t>ÖSTERGÖTLANDS LÄN</t>
        </is>
      </c>
      <c r="G149" t="inlineStr">
        <is>
          <t>MJÖLBY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46296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46296</v>
      </c>
      <c r="F151" t="inlineStr">
        <is>
          <t>ÖSTERGÖTLANDS LÄN</t>
        </is>
      </c>
      <c r="G151" t="inlineStr">
        <is>
          <t>MJÖLBY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46296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46296</v>
      </c>
      <c r="F153" t="inlineStr">
        <is>
          <t>ÖSTERGÖTLANDS LÄN</t>
        </is>
      </c>
      <c r="G153" t="inlineStr">
        <is>
          <t>MJÖLBY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45982</v>
      </c>
      <c r="E154" s="1" t="n">
        <v>46296</v>
      </c>
      <c r="F154" t="inlineStr">
        <is>
          <t>ÖSTERGÖTLANDS LÄN</t>
        </is>
      </c>
      <c r="G154" t="inlineStr">
        <is>
          <t>MJÖLBY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46296</v>
      </c>
      <c r="F155" t="inlineStr">
        <is>
          <t>ÖSTERGÖTLANDS LÄN</t>
        </is>
      </c>
      <c r="G155" t="inlineStr">
        <is>
          <t>MJÖLBY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46296</v>
      </c>
      <c r="F156" t="inlineStr">
        <is>
          <t>ÖSTERGÖTLANDS LÄN</t>
        </is>
      </c>
      <c r="G156" t="inlineStr">
        <is>
          <t>MJÖLBY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46296</v>
      </c>
      <c r="F157" t="inlineStr">
        <is>
          <t>ÖSTERGÖTLANDS LÄN</t>
        </is>
      </c>
      <c r="G157" t="inlineStr">
        <is>
          <t>MJÖLBY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46296</v>
      </c>
      <c r="F158" t="inlineStr">
        <is>
          <t>ÖSTERGÖTLANDS LÄN</t>
        </is>
      </c>
      <c r="G158" t="inlineStr">
        <is>
          <t>MJÖLBY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45988</v>
      </c>
      <c r="E159" s="1" t="n">
        <v>46296</v>
      </c>
      <c r="F159" t="inlineStr">
        <is>
          <t>ÖSTERGÖTLANDS LÄN</t>
        </is>
      </c>
      <c r="G159" t="inlineStr">
        <is>
          <t>MJÖLBY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46296</v>
      </c>
      <c r="F160" t="inlineStr">
        <is>
          <t>ÖSTERGÖTLANDS LÄN</t>
        </is>
      </c>
      <c r="G160" t="inlineStr">
        <is>
          <t>MJÖLBY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46296</v>
      </c>
      <c r="F161" t="inlineStr">
        <is>
          <t>ÖSTERGÖTLANDS LÄN</t>
        </is>
      </c>
      <c r="G161" t="inlineStr">
        <is>
          <t>MJÖLBY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46296</v>
      </c>
      <c r="F162" t="inlineStr">
        <is>
          <t>ÖSTERGÖTLANDS LÄN</t>
        </is>
      </c>
      <c r="G162" t="inlineStr">
        <is>
          <t>MJÖLBY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46296</v>
      </c>
      <c r="F163" t="inlineStr">
        <is>
          <t>ÖSTERGÖTLANDS LÄN</t>
        </is>
      </c>
      <c r="G163" t="inlineStr">
        <is>
          <t>MJÖLBY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46296</v>
      </c>
      <c r="F164" t="inlineStr">
        <is>
          <t>ÖSTERGÖTLANDS LÄN</t>
        </is>
      </c>
      <c r="G164" t="inlineStr">
        <is>
          <t>MJÖLBY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46296</v>
      </c>
      <c r="F165" t="inlineStr">
        <is>
          <t>ÖSTERGÖTLANDS LÄN</t>
        </is>
      </c>
      <c r="G165" t="inlineStr">
        <is>
          <t>MJÖLBY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46296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46296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16110-2026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46108</v>
      </c>
      <c r="E168" s="1" t="n">
        <v>46296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46296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46296</v>
      </c>
      <c r="F170" t="inlineStr">
        <is>
          <t>ÖSTERGÖTLANDS LÄN</t>
        </is>
      </c>
      <c r="G170" t="inlineStr">
        <is>
          <t>MJÖLBY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46296</v>
      </c>
      <c r="F171" t="inlineStr">
        <is>
          <t>ÖSTERGÖTLANDS LÄN</t>
        </is>
      </c>
      <c r="G171" t="inlineStr">
        <is>
          <t>MJÖLBY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46296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46296</v>
      </c>
      <c r="F173" t="inlineStr">
        <is>
          <t>ÖSTERGÖTLANDS LÄN</t>
        </is>
      </c>
      <c r="G173" t="inlineStr">
        <is>
          <t>MJÖLBY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46296</v>
      </c>
      <c r="F174" t="inlineStr">
        <is>
          <t>ÖSTERGÖTLANDS LÄN</t>
        </is>
      </c>
      <c r="G174" t="inlineStr">
        <is>
          <t>MJÖLBY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46296</v>
      </c>
      <c r="F175" t="inlineStr">
        <is>
          <t>ÖSTERGÖTLANDS LÄN</t>
        </is>
      </c>
      <c r="G175" t="inlineStr">
        <is>
          <t>MJÖLBY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45892</v>
      </c>
      <c r="E176" s="1" t="n">
        <v>46296</v>
      </c>
      <c r="F176" t="inlineStr">
        <is>
          <t>ÖSTERGÖTLANDS LÄN</t>
        </is>
      </c>
      <c r="G176" t="inlineStr">
        <is>
          <t>MJÖLBY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45818</v>
      </c>
      <c r="E177" s="1" t="n">
        <v>46296</v>
      </c>
      <c r="F177" t="inlineStr">
        <is>
          <t>ÖSTERGÖTLANDS LÄN</t>
        </is>
      </c>
      <c r="G177" t="inlineStr">
        <is>
          <t>MJÖLBY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46296</v>
      </c>
      <c r="F178" t="inlineStr">
        <is>
          <t>ÖSTERGÖTLANDS LÄN</t>
        </is>
      </c>
      <c r="G178" t="inlineStr">
        <is>
          <t>MJÖLBY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46296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44768</v>
      </c>
      <c r="E180" s="1" t="n">
        <v>46296</v>
      </c>
      <c r="F180" t="inlineStr">
        <is>
          <t>ÖSTERGÖTLANDS LÄN</t>
        </is>
      </c>
      <c r="G180" t="inlineStr">
        <is>
          <t>MJÖLBY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46296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Kommuner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46296</v>
      </c>
      <c r="F182" t="inlineStr">
        <is>
          <t>ÖSTERGÖTLANDS LÄN</t>
        </is>
      </c>
      <c r="G182" t="inlineStr">
        <is>
          <t>MJÖLBY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46296</v>
      </c>
      <c r="F183" t="inlineStr">
        <is>
          <t>ÖSTERGÖTLANDS LÄN</t>
        </is>
      </c>
      <c r="G183" t="inlineStr">
        <is>
          <t>MJÖLBY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46296</v>
      </c>
      <c r="F184" t="inlineStr">
        <is>
          <t>ÖSTERGÖTLANDS LÄN</t>
        </is>
      </c>
      <c r="G184" t="inlineStr">
        <is>
          <t>MJÖLBY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46296</v>
      </c>
      <c r="F185" t="inlineStr">
        <is>
          <t>ÖSTERGÖTLANDS LÄN</t>
        </is>
      </c>
      <c r="G185" t="inlineStr">
        <is>
          <t>MJÖLBY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24139-2026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46168</v>
      </c>
      <c r="E186" s="1" t="n">
        <v>46296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46170</v>
      </c>
      <c r="E187" s="1" t="n">
        <v>46296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46174</v>
      </c>
      <c r="E188" s="1" t="n">
        <v>46296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46296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46296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24894-2026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46296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46174</v>
      </c>
      <c r="E192" s="1" t="n">
        <v>46296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24896-2026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46296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24903-2026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46174</v>
      </c>
      <c r="E194" s="1" t="n">
        <v>46296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46296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27126-2026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46188</v>
      </c>
      <c r="E196" s="1" t="n">
        <v>46296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46296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46296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46197</v>
      </c>
      <c r="E199" s="1" t="n">
        <v>46296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46216</v>
      </c>
      <c r="E200" s="1" t="n">
        <v>46296</v>
      </c>
      <c r="F200" t="inlineStr">
        <is>
          <t>ÖSTERGÖTLANDS LÄN</t>
        </is>
      </c>
      <c r="G200" t="inlineStr">
        <is>
          <t>MJÖLBY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34794-2026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46258</v>
      </c>
      <c r="E201" s="1" t="n">
        <v>46296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46296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Övriga Aktiebolag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46296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46217</v>
      </c>
      <c r="E204" s="1" t="n">
        <v>46296</v>
      </c>
      <c r="F204" t="inlineStr">
        <is>
          <t>ÖSTERGÖTLANDS LÄN</t>
        </is>
      </c>
      <c r="G204" t="inlineStr">
        <is>
          <t>MJÖLBY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46217</v>
      </c>
      <c r="E205" s="1" t="n">
        <v>46296</v>
      </c>
      <c r="F205" t="inlineStr">
        <is>
          <t>ÖSTERGÖTLANDS LÄN</t>
        </is>
      </c>
      <c r="G205" t="inlineStr">
        <is>
          <t>MJÖLBY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46296</v>
      </c>
      <c r="F206" t="inlineStr">
        <is>
          <t>ÖSTERGÖTLANDS LÄN</t>
        </is>
      </c>
      <c r="G206" t="inlineStr">
        <is>
          <t>MJÖLBY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36206-2026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46267</v>
      </c>
      <c r="E207" s="1" t="n">
        <v>46296</v>
      </c>
      <c r="F207" t="inlineStr">
        <is>
          <t>ÖSTERGÖTLANDS LÄN</t>
        </is>
      </c>
      <c r="G207" t="inlineStr">
        <is>
          <t>MJÖLBY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36209-2026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46267</v>
      </c>
      <c r="E208" s="1" t="n">
        <v>46296</v>
      </c>
      <c r="F208" t="inlineStr">
        <is>
          <t>ÖSTERGÖTLANDS LÄN</t>
        </is>
      </c>
      <c r="G208" t="inlineStr">
        <is>
          <t>MJÖLBY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46296</v>
      </c>
      <c r="F209" t="inlineStr">
        <is>
          <t>ÖSTERGÖTLANDS LÄN</t>
        </is>
      </c>
      <c r="G209" t="inlineStr">
        <is>
          <t>MJÖLBY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46274</v>
      </c>
      <c r="E210" s="1" t="n">
        <v>46296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Kyrkan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46275</v>
      </c>
      <c r="E211" s="1" t="n">
        <v>46296</v>
      </c>
      <c r="F211" t="inlineStr">
        <is>
          <t>ÖSTERGÖTLANDS LÄN</t>
        </is>
      </c>
      <c r="G211" t="inlineStr">
        <is>
          <t>MJÖLBY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46274</v>
      </c>
      <c r="E212" s="1" t="n">
        <v>46296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Kyrkan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31928-2026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46232</v>
      </c>
      <c r="E213" s="1" t="n">
        <v>46296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37353-2026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46275</v>
      </c>
      <c r="E214" s="1" t="n">
        <v>46296</v>
      </c>
      <c r="F214" t="inlineStr">
        <is>
          <t>ÖSTERGÖTLANDS LÄN</t>
        </is>
      </c>
      <c r="G214" t="inlineStr">
        <is>
          <t>MJÖLBY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46232</v>
      </c>
      <c r="E215" s="1" t="n">
        <v>46296</v>
      </c>
      <c r="F215" t="inlineStr">
        <is>
          <t>ÖSTERGÖTLANDS LÄN</t>
        </is>
      </c>
      <c r="G215" t="inlineStr">
        <is>
          <t>MJÖLBY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46232</v>
      </c>
      <c r="E216" s="1" t="n">
        <v>46296</v>
      </c>
      <c r="F216" t="inlineStr">
        <is>
          <t>ÖSTERGÖTLANDS LÄN</t>
        </is>
      </c>
      <c r="G216" t="inlineStr">
        <is>
          <t>MJÖLBY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46279</v>
      </c>
      <c r="E217" s="1" t="n">
        <v>46296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Kyrkan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46296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32317-2026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46237</v>
      </c>
      <c r="E219" s="1" t="n">
        <v>46296</v>
      </c>
      <c r="F219" t="inlineStr">
        <is>
          <t>ÖSTERGÖTLANDS LÄN</t>
        </is>
      </c>
      <c r="G219" t="inlineStr">
        <is>
          <t>MJÖLBY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32574-2026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46239</v>
      </c>
      <c r="E220" s="1" t="n">
        <v>46296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46296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46296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38985-2026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46286</v>
      </c>
      <c r="E223" s="1" t="n">
        <v>46296</v>
      </c>
      <c r="F223" t="inlineStr">
        <is>
          <t>ÖSTERGÖTLANDS LÄN</t>
        </is>
      </c>
      <c r="G223" t="inlineStr">
        <is>
          <t>MJÖLBY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33010-2026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46244</v>
      </c>
      <c r="E224" s="1" t="n">
        <v>46296</v>
      </c>
      <c r="F224" t="inlineStr">
        <is>
          <t>ÖSTERGÖTLANDS LÄN</t>
        </is>
      </c>
      <c r="G224" t="inlineStr">
        <is>
          <t>MJÖLBY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46275</v>
      </c>
      <c r="E225" s="1" t="n">
        <v>46296</v>
      </c>
      <c r="F225" t="inlineStr">
        <is>
          <t>ÖSTERGÖTLANDS LÄN</t>
        </is>
      </c>
      <c r="G225" t="inlineStr">
        <is>
          <t>MJÖLBY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46296</v>
      </c>
      <c r="F226" t="inlineStr">
        <is>
          <t>ÖSTERGÖTLANDS LÄN</t>
        </is>
      </c>
      <c r="G226" t="inlineStr">
        <is>
          <t>MJÖLBY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46290</v>
      </c>
      <c r="E227" s="1" t="n">
        <v>46296</v>
      </c>
      <c r="F227" t="inlineStr">
        <is>
          <t>ÖSTERGÖTLANDS LÄN</t>
        </is>
      </c>
      <c r="G227" t="inlineStr">
        <is>
          <t>MJÖLBY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46290</v>
      </c>
      <c r="E228" s="1" t="n">
        <v>46296</v>
      </c>
      <c r="F228" t="inlineStr">
        <is>
          <t>ÖSTERGÖTLANDS LÄN</t>
        </is>
      </c>
      <c r="G228" t="inlineStr">
        <is>
          <t>MJÖLBY</t>
        </is>
      </c>
      <c r="I228" t="n">
        <v>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46253</v>
      </c>
      <c r="E229" s="1" t="n">
        <v>46296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34172-2026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46253</v>
      </c>
      <c r="E230" s="1" t="n">
        <v>46296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46253</v>
      </c>
      <c r="E231" s="1" t="n">
        <v>46296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1827-2026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46197</v>
      </c>
      <c r="E232" s="1" t="n">
        <v>46296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2026-10-01T02:03:49Z</dcterms:created>
  <dcterms:modified xmlns:dcterms="http://purl.org/dc/terms/" xmlns:xsi="http://www.w3.org/2001/XMLSchema-instance" xsi:type="dcterms:W3CDTF">2026-10-01T02:03:49Z</dcterms:modified>
</cp:coreProperties>
</file>