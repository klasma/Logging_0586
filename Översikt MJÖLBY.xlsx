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46232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46232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46232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46232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46232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Ängshök</t>
        </is>
      </c>
      <c r="W9">
        <f>HYPERLINK("https://klasma.github.io/Logging_0586/artfynd/A 54444-2021 artfynd.xlsx", "A 54444-2021")</f>
        <v/>
      </c>
      <c r="X9">
        <f>HYPERLINK("https://klasma.github.io/Logging_0586/kartor/A 54444-2021 karta.png", "A 54444-2021")</f>
        <v/>
      </c>
      <c r="Y9">
        <f>HYPERLINK("https://klasma.github.io/Logging_0586/kartor_geotiff/A 54444-2021 georefererad karta.tif", "A 54444-2021")</f>
        <v/>
      </c>
      <c r="AA9">
        <f>HYPERLINK("https://klasma.github.io/Logging_0586/klagomål/A 54444-2021 FSC-klagomål.docx", "A 54444-2021")</f>
        <v/>
      </c>
      <c r="AB9">
        <f>HYPERLINK("https://klasma.github.io/Logging_0586/klagomålsmail/A 54444-2021 FSC-klagomål mail.docx", "A 54444-2021")</f>
        <v/>
      </c>
      <c r="AC9">
        <f>HYPERLINK("https://klasma.github.io/Logging_0586/tillsyn/A 54444-2021 tillsynsbegäran.docx", "A 54444-2021")</f>
        <v/>
      </c>
      <c r="AD9">
        <f>HYPERLINK("https://klasma.github.io/Logging_0586/tillsynsmail/A 54444-2021 tillsynsbegäran mail.docx", "A 54444-2021")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46232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46232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46232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46232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46232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46232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46232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46232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46232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46232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Skogsduva</t>
        </is>
      </c>
      <c r="W19">
        <f>HYPERLINK("https://klasma.github.io/Logging_0586/artfynd/A 45164-2023 artfynd.xlsx", "A 45164-2023")</f>
        <v/>
      </c>
      <c r="X19">
        <f>HYPERLINK("https://klasma.github.io/Logging_0586/kartor/A 45164-2023 karta.png", "A 45164-2023")</f>
        <v/>
      </c>
      <c r="Y19">
        <f>HYPERLINK("https://klasma.github.io/Logging_0586/kartor_geotiff/A 45164-2023 georefererad karta.tif", "A 45164-2023")</f>
        <v/>
      </c>
      <c r="AA19">
        <f>HYPERLINK("https://klasma.github.io/Logging_0586/klagomål/A 45164-2023 FSC-klagomål.docx", "A 45164-2023")</f>
        <v/>
      </c>
      <c r="AB19">
        <f>HYPERLINK("https://klasma.github.io/Logging_0586/klagomålsmail/A 45164-2023 FSC-klagomål mail.docx", "A 45164-2023")</f>
        <v/>
      </c>
      <c r="AC19">
        <f>HYPERLINK("https://klasma.github.io/Logging_0586/tillsyn/A 45164-2023 tillsynsbegäran.docx", "A 45164-2023")</f>
        <v/>
      </c>
      <c r="AD19">
        <f>HYPERLINK("https://klasma.github.io/Logging_0586/tillsynsmail/A 45164-2023 tillsynsbegäran mail.docx", "A 45164-2023")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46232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51642-2021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46232</v>
      </c>
      <c r="F21" t="inlineStr">
        <is>
          <t>ÖSTERGÖTLANDS LÄN</t>
        </is>
      </c>
      <c r="G21" t="inlineStr">
        <is>
          <t>MJÖLBY</t>
        </is>
      </c>
      <c r="I21" t="n">
        <v>2.9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Vårstarr</t>
        </is>
      </c>
      <c r="W21">
        <f>HYPERLINK("https://klasma.github.io/Logging_0586/artfynd/A 51642-2021 artfynd.xlsx", "A 51642-2021")</f>
        <v/>
      </c>
      <c r="X21">
        <f>HYPERLINK("https://klasma.github.io/Logging_0586/kartor/A 51642-2021 karta.png", "A 51642-2021")</f>
        <v/>
      </c>
      <c r="Y21">
        <f>HYPERLINK("https://klasma.github.io/Logging_0586/kartor_geotiff/A 51642-2021 georefererad karta.tif", "A 51642-2021")</f>
        <v/>
      </c>
      <c r="AA21">
        <f>HYPERLINK("https://klasma.github.io/Logging_0586/klagomål/A 51642-2021 FSC-klagomål.docx", "A 51642-2021")</f>
        <v/>
      </c>
      <c r="AB21">
        <f>HYPERLINK("https://klasma.github.io/Logging_0586/klagomålsmail/A 51642-2021 FSC-klagomål mail.docx", "A 51642-2021")</f>
        <v/>
      </c>
      <c r="AC21">
        <f>HYPERLINK("https://klasma.github.io/Logging_0586/tillsyn/A 51642-2021 tillsynsbegäran.docx", "A 51642-2021")</f>
        <v/>
      </c>
      <c r="AD21">
        <f>HYPERLINK("https://klasma.github.io/Logging_0586/tillsynsmail/A 51642-2021 tillsynsbegäran mail.docx", "A 51642-2021")</f>
        <v/>
      </c>
    </row>
    <row r="22" ht="15" customHeight="1">
      <c r="A22" t="inlineStr">
        <is>
          <t>A 44468-2021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44435</v>
      </c>
      <c r="E22" s="1" t="n">
        <v>46232</v>
      </c>
      <c r="F22" t="inlineStr">
        <is>
          <t>ÖSTERGÖTLANDS LÄN</t>
        </is>
      </c>
      <c r="G22" t="inlineStr">
        <is>
          <t>MJÖLBY</t>
        </is>
      </c>
      <c r="H22" t="inlineStr">
        <is>
          <t>Kommuner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HYPERLINK("https://klasma.github.io/Logging_0586/artfynd/A 44468-2021 artfynd.xlsx", "A 44468-2021")</f>
        <v/>
      </c>
      <c r="X22">
        <f>HYPERLINK("https://klasma.github.io/Logging_0586/kartor/A 44468-2021 karta.png", "A 44468-2021")</f>
        <v/>
      </c>
      <c r="Y22">
        <f>HYPERLINK("https://klasma.github.io/Logging_0586/kartor_geotiff/A 44468-2021 georefererad karta.tif", "A 44468-2021")</f>
        <v/>
      </c>
      <c r="AA22">
        <f>HYPERLINK("https://klasma.github.io/Logging_0586/klagomål/A 44468-2021 FSC-klagomål.docx", "A 44468-2021")</f>
        <v/>
      </c>
      <c r="AB22">
        <f>HYPERLINK("https://klasma.github.io/Logging_0586/klagomålsmail/A 44468-2021 FSC-klagomål mail.docx", "A 44468-2021")</f>
        <v/>
      </c>
      <c r="AC22">
        <f>HYPERLINK("https://klasma.github.io/Logging_0586/tillsyn/A 44468-2021 tillsynsbegäran.docx", "A 44468-2021")</f>
        <v/>
      </c>
      <c r="AD22">
        <f>HYPERLINK("https://klasma.github.io/Logging_0586/tillsynsmail/A 44468-2021 tillsynsbegäran mail.docx", "A 44468-2021")</f>
        <v/>
      </c>
    </row>
    <row r="23" ht="15" customHeight="1">
      <c r="A23" t="inlineStr">
        <is>
          <t>A 50403-2022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44866</v>
      </c>
      <c r="E23" s="1" t="n">
        <v>46232</v>
      </c>
      <c r="F23" t="inlineStr">
        <is>
          <t>ÖSTERGÖTLANDS LÄN</t>
        </is>
      </c>
      <c r="G23" t="inlineStr">
        <is>
          <t>MJÖLBY</t>
        </is>
      </c>
      <c r="H23" t="inlineStr">
        <is>
          <t>Sveaskog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Springkorn</t>
        </is>
      </c>
      <c r="W23">
        <f>HYPERLINK("https://klasma.github.io/Logging_0586/artfynd/A 50403-2022 artfynd.xlsx", "A 50403-2022")</f>
        <v/>
      </c>
      <c r="X23">
        <f>HYPERLINK("https://klasma.github.io/Logging_0586/kartor/A 50403-2022 karta.png", "A 50403-2022")</f>
        <v/>
      </c>
      <c r="Y23">
        <f>HYPERLINK("https://klasma.github.io/Logging_0586/kartor_geotiff/A 50403-2022 georefererad karta.tif", "A 50403-2022")</f>
        <v/>
      </c>
      <c r="AA23">
        <f>HYPERLINK("https://klasma.github.io/Logging_0586/klagomål/A 50403-2022 FSC-klagomål.docx", "A 50403-2022")</f>
        <v/>
      </c>
      <c r="AB23">
        <f>HYPERLINK("https://klasma.github.io/Logging_0586/klagomålsmail/A 50403-2022 FSC-klagomål mail.docx", "A 50403-2022")</f>
        <v/>
      </c>
      <c r="AC23">
        <f>HYPERLINK("https://klasma.github.io/Logging_0586/tillsyn/A 50403-2022 tillsynsbegäran.docx", "A 50403-2022")</f>
        <v/>
      </c>
      <c r="AD23">
        <f>HYPERLINK("https://klasma.github.io/Logging_0586/tillsynsmail/A 50403-2022 tillsynsbegäran mail.docx", "A 50403-2022")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46232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46232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46232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46232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46232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46232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46232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46232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46232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46232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46232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46232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46232</v>
      </c>
      <c r="F36" t="inlineStr">
        <is>
          <t>ÖSTERGÖTLANDS LÄN</t>
        </is>
      </c>
      <c r="G36" t="inlineStr">
        <is>
          <t>MJÖLBY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45009</v>
      </c>
      <c r="E37" s="1" t="n">
        <v>46232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46232</v>
      </c>
      <c r="F38" t="inlineStr">
        <is>
          <t>ÖSTERGÖTLANDS LÄN</t>
        </is>
      </c>
      <c r="G38" t="inlineStr">
        <is>
          <t>MJÖLBY</t>
        </is>
      </c>
      <c r="H38" t="inlineStr">
        <is>
          <t>Allmännings- och besparingsskogar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46232</v>
      </c>
      <c r="F39" t="inlineStr">
        <is>
          <t>ÖSTERGÖTLANDS LÄN</t>
        </is>
      </c>
      <c r="G39" t="inlineStr">
        <is>
          <t>MJÖLBY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60917-2022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46232</v>
      </c>
      <c r="F40" t="inlineStr">
        <is>
          <t>ÖSTERGÖTLANDS LÄN</t>
        </is>
      </c>
      <c r="G40" t="inlineStr">
        <is>
          <t>MJÖLBY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46232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46232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43012-2024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45567</v>
      </c>
      <c r="E43" s="1" t="n">
        <v>46232</v>
      </c>
      <c r="F43" t="inlineStr">
        <is>
          <t>ÖSTERGÖTLANDS LÄN</t>
        </is>
      </c>
      <c r="G43" t="inlineStr">
        <is>
          <t>MJÖLBY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46232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46232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46232</v>
      </c>
      <c r="F46" t="inlineStr">
        <is>
          <t>ÖSTERGÖTLANDS LÄN</t>
        </is>
      </c>
      <c r="G46" t="inlineStr">
        <is>
          <t>MJÖLBY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46232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46232</v>
      </c>
      <c r="F48" t="inlineStr">
        <is>
          <t>ÖSTERGÖTLANDS LÄN</t>
        </is>
      </c>
      <c r="G48" t="inlineStr">
        <is>
          <t>MJÖLBY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46232</v>
      </c>
      <c r="F49" t="inlineStr">
        <is>
          <t>ÖSTERGÖTLANDS LÄN</t>
        </is>
      </c>
      <c r="G49" t="inlineStr">
        <is>
          <t>MJÖLBY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44980</v>
      </c>
      <c r="E50" s="1" t="n">
        <v>46232</v>
      </c>
      <c r="F50" t="inlineStr">
        <is>
          <t>ÖSTERGÖTLANDS LÄN</t>
        </is>
      </c>
      <c r="G50" t="inlineStr">
        <is>
          <t>MJÖLBY</t>
        </is>
      </c>
      <c r="H50" t="inlineStr">
        <is>
          <t>Kyrkan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46232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46232</v>
      </c>
      <c r="F52" t="inlineStr">
        <is>
          <t>ÖSTERGÖTLANDS LÄN</t>
        </is>
      </c>
      <c r="G52" t="inlineStr">
        <is>
          <t>MJÖLBY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46232</v>
      </c>
      <c r="F53" t="inlineStr">
        <is>
          <t>ÖSTERGÖTLANDS LÄN</t>
        </is>
      </c>
      <c r="G53" t="inlineStr">
        <is>
          <t>MJÖLBY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44663</v>
      </c>
      <c r="E54" s="1" t="n">
        <v>46232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45208</v>
      </c>
      <c r="E55" s="1" t="n">
        <v>46232</v>
      </c>
      <c r="F55" t="inlineStr">
        <is>
          <t>ÖSTERGÖTLANDS LÄN</t>
        </is>
      </c>
      <c r="G55" t="inlineStr">
        <is>
          <t>MJÖLBY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45221</v>
      </c>
      <c r="E56" s="1" t="n">
        <v>46232</v>
      </c>
      <c r="F56" t="inlineStr">
        <is>
          <t>ÖSTERGÖTLANDS LÄN</t>
        </is>
      </c>
      <c r="G56" t="inlineStr">
        <is>
          <t>MJÖLBY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46232</v>
      </c>
      <c r="F57" t="inlineStr">
        <is>
          <t>ÖSTERGÖTLANDS LÄN</t>
        </is>
      </c>
      <c r="G57" t="inlineStr">
        <is>
          <t>MJÖLBY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44971</v>
      </c>
      <c r="E58" s="1" t="n">
        <v>46232</v>
      </c>
      <c r="F58" t="inlineStr">
        <is>
          <t>ÖSTERGÖTLANDS LÄN</t>
        </is>
      </c>
      <c r="G58" t="inlineStr">
        <is>
          <t>MJÖLBY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46232</v>
      </c>
      <c r="F59" t="inlineStr">
        <is>
          <t>ÖSTERGÖTLANDS LÄN</t>
        </is>
      </c>
      <c r="G59" t="inlineStr">
        <is>
          <t>MJÖLBY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46232</v>
      </c>
      <c r="F60" t="inlineStr">
        <is>
          <t>ÖSTERGÖTLANDS LÄN</t>
        </is>
      </c>
      <c r="G60" t="inlineStr">
        <is>
          <t>MJÖLBY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46232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46232</v>
      </c>
      <c r="F62" t="inlineStr">
        <is>
          <t>ÖSTERGÖTLANDS LÄN</t>
        </is>
      </c>
      <c r="G62" t="inlineStr">
        <is>
          <t>MJÖLBY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31623-2025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46232</v>
      </c>
      <c r="F63" t="inlineStr">
        <is>
          <t>ÖSTERGÖTLANDS LÄN</t>
        </is>
      </c>
      <c r="G63" t="inlineStr">
        <is>
          <t>MJÖLBY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46232</v>
      </c>
      <c r="F64" t="inlineStr">
        <is>
          <t>ÖSTERGÖTLANDS LÄN</t>
        </is>
      </c>
      <c r="G64" t="inlineStr">
        <is>
          <t>MJÖLBY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46232</v>
      </c>
      <c r="F65" t="inlineStr">
        <is>
          <t>ÖSTERGÖTLANDS LÄN</t>
        </is>
      </c>
      <c r="G65" t="inlineStr">
        <is>
          <t>MJÖLBY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46232</v>
      </c>
      <c r="F66" t="inlineStr">
        <is>
          <t>ÖSTERGÖTLANDS LÄN</t>
        </is>
      </c>
      <c r="G66" t="inlineStr">
        <is>
          <t>MJÖLBY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46232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46232</v>
      </c>
      <c r="F68" t="inlineStr">
        <is>
          <t>ÖSTERGÖTLANDS LÄN</t>
        </is>
      </c>
      <c r="G68" t="inlineStr">
        <is>
          <t>MJÖLBY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58412-2023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45250</v>
      </c>
      <c r="E69" s="1" t="n">
        <v>46232</v>
      </c>
      <c r="F69" t="inlineStr">
        <is>
          <t>ÖSTERGÖTLANDS LÄN</t>
        </is>
      </c>
      <c r="G69" t="inlineStr">
        <is>
          <t>MJÖLBY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63449-2023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45273</v>
      </c>
      <c r="E70" s="1" t="n">
        <v>46232</v>
      </c>
      <c r="F70" t="inlineStr">
        <is>
          <t>ÖSTERGÖTLANDS LÄN</t>
        </is>
      </c>
      <c r="G70" t="inlineStr">
        <is>
          <t>MJÖLBY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46232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46232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46232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46232</v>
      </c>
      <c r="F74" t="inlineStr">
        <is>
          <t>ÖSTERGÖTLANDS LÄN</t>
        </is>
      </c>
      <c r="G74" t="inlineStr">
        <is>
          <t>MJÖLBY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46232</v>
      </c>
      <c r="F75" t="inlineStr">
        <is>
          <t>ÖSTERGÖTLANDS LÄN</t>
        </is>
      </c>
      <c r="G75" t="inlineStr">
        <is>
          <t>MJÖLBY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37802-2022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46232</v>
      </c>
      <c r="F76" t="inlineStr">
        <is>
          <t>ÖSTERGÖTLANDS LÄN</t>
        </is>
      </c>
      <c r="G76" t="inlineStr">
        <is>
          <t>MJÖLBY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46048</v>
      </c>
      <c r="E77" s="1" t="n">
        <v>46232</v>
      </c>
      <c r="F77" t="inlineStr">
        <is>
          <t>ÖSTERGÖTLANDS LÄN</t>
        </is>
      </c>
      <c r="G77" t="inlineStr">
        <is>
          <t>MJÖLBY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45681</v>
      </c>
      <c r="E78" s="1" t="n">
        <v>46232</v>
      </c>
      <c r="F78" t="inlineStr">
        <is>
          <t>ÖSTERGÖTLANDS LÄN</t>
        </is>
      </c>
      <c r="G78" t="inlineStr">
        <is>
          <t>MJÖLBY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46232</v>
      </c>
      <c r="F79" t="inlineStr">
        <is>
          <t>ÖSTERGÖTLANDS LÄN</t>
        </is>
      </c>
      <c r="G79" t="inlineStr">
        <is>
          <t>MJÖLBY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45674</v>
      </c>
      <c r="E80" s="1" t="n">
        <v>46232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65921-2021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46232</v>
      </c>
      <c r="F81" t="inlineStr">
        <is>
          <t>ÖSTERGÖTLANDS LÄN</t>
        </is>
      </c>
      <c r="G81" t="inlineStr">
        <is>
          <t>MJÖLBY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46232</v>
      </c>
      <c r="F82" t="inlineStr">
        <is>
          <t>ÖSTERGÖTLANDS LÄN</t>
        </is>
      </c>
      <c r="G82" t="inlineStr">
        <is>
          <t>MJÖLBY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38199-2025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45882</v>
      </c>
      <c r="E83" s="1" t="n">
        <v>46232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46232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46232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45208</v>
      </c>
      <c r="E86" s="1" t="n">
        <v>46232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44769-2025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46232</v>
      </c>
      <c r="F87" t="inlineStr">
        <is>
          <t>ÖSTERGÖTLANDS LÄN</t>
        </is>
      </c>
      <c r="G87" t="inlineStr">
        <is>
          <t>MJÖLBY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44936</v>
      </c>
      <c r="E88" s="1" t="n">
        <v>46232</v>
      </c>
      <c r="F88" t="inlineStr">
        <is>
          <t>ÖSTERGÖTLANDS LÄN</t>
        </is>
      </c>
      <c r="G88" t="inlineStr">
        <is>
          <t>MJÖLBY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46232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46232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46232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46232</v>
      </c>
      <c r="F92" t="inlineStr">
        <is>
          <t>ÖSTERGÖTLANDS LÄN</t>
        </is>
      </c>
      <c r="G92" t="inlineStr">
        <is>
          <t>MJÖLBY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46232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46232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11064-2026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46079</v>
      </c>
      <c r="E95" s="1" t="n">
        <v>46232</v>
      </c>
      <c r="F95" t="inlineStr">
        <is>
          <t>ÖSTERGÖTLANDS LÄN</t>
        </is>
      </c>
      <c r="G95" t="inlineStr">
        <is>
          <t>MJÖLBY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46232</v>
      </c>
      <c r="F96" t="inlineStr">
        <is>
          <t>ÖSTERGÖTLANDS LÄN</t>
        </is>
      </c>
      <c r="G96" t="inlineStr">
        <is>
          <t>MJÖLBY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45982</v>
      </c>
      <c r="E97" s="1" t="n">
        <v>46232</v>
      </c>
      <c r="F97" t="inlineStr">
        <is>
          <t>ÖSTERGÖTLANDS LÄN</t>
        </is>
      </c>
      <c r="G97" t="inlineStr">
        <is>
          <t>MJÖLBY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46232</v>
      </c>
      <c r="F98" t="inlineStr">
        <is>
          <t>ÖSTERGÖTLANDS LÄN</t>
        </is>
      </c>
      <c r="G98" t="inlineStr">
        <is>
          <t>MJÖLBY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46232</v>
      </c>
      <c r="F99" t="inlineStr">
        <is>
          <t>ÖSTERGÖTLANDS LÄN</t>
        </is>
      </c>
      <c r="G99" t="inlineStr">
        <is>
          <t>MJÖLBY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46232</v>
      </c>
      <c r="F100" t="inlineStr">
        <is>
          <t>ÖSTERGÖTLANDS LÄN</t>
        </is>
      </c>
      <c r="G100" t="inlineStr">
        <is>
          <t>MJÖLBY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46232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46232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45376</v>
      </c>
      <c r="E103" s="1" t="n">
        <v>46232</v>
      </c>
      <c r="F103" t="inlineStr">
        <is>
          <t>ÖSTERGÖTLANDS LÄN</t>
        </is>
      </c>
      <c r="G103" t="inlineStr">
        <is>
          <t>MJÖLBY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46232</v>
      </c>
      <c r="F104" t="inlineStr">
        <is>
          <t>ÖSTERGÖTLANDS LÄN</t>
        </is>
      </c>
      <c r="G104" t="inlineStr">
        <is>
          <t>MJÖLBY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44904</v>
      </c>
      <c r="E105" s="1" t="n">
        <v>46232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44580</v>
      </c>
      <c r="E106" s="1" t="n">
        <v>46232</v>
      </c>
      <c r="F106" t="inlineStr">
        <is>
          <t>ÖSTERGÖTLANDS LÄN</t>
        </is>
      </c>
      <c r="G106" t="inlineStr">
        <is>
          <t>MJÖLBY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46232</v>
      </c>
      <c r="F107" t="inlineStr">
        <is>
          <t>ÖSTERGÖTLANDS LÄN</t>
        </is>
      </c>
      <c r="G107" t="inlineStr">
        <is>
          <t>MJÖLBY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46232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46232</v>
      </c>
      <c r="F109" t="inlineStr">
        <is>
          <t>ÖSTERGÖTLANDS LÄN</t>
        </is>
      </c>
      <c r="G109" t="inlineStr">
        <is>
          <t>MJÖLBY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45666</v>
      </c>
      <c r="E110" s="1" t="n">
        <v>46232</v>
      </c>
      <c r="F110" t="inlineStr">
        <is>
          <t>ÖSTERGÖTLANDS LÄN</t>
        </is>
      </c>
      <c r="G110" t="inlineStr">
        <is>
          <t>MJÖLBY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46007</v>
      </c>
      <c r="E111" s="1" t="n">
        <v>46232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Kyrkan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45526</v>
      </c>
      <c r="E112" s="1" t="n">
        <v>46232</v>
      </c>
      <c r="F112" t="inlineStr">
        <is>
          <t>ÖSTERGÖTLANDS LÄN</t>
        </is>
      </c>
      <c r="G112" t="inlineStr">
        <is>
          <t>MJÖLBY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45269</v>
      </c>
      <c r="E113" s="1" t="n">
        <v>46232</v>
      </c>
      <c r="F113" t="inlineStr">
        <is>
          <t>ÖSTERGÖTLANDS LÄN</t>
        </is>
      </c>
      <c r="G113" t="inlineStr">
        <is>
          <t>MJÖLBY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46232</v>
      </c>
      <c r="F114" t="inlineStr">
        <is>
          <t>ÖSTERGÖTLANDS LÄN</t>
        </is>
      </c>
      <c r="G114" t="inlineStr">
        <is>
          <t>MJÖLBY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46232</v>
      </c>
      <c r="F115" t="inlineStr">
        <is>
          <t>ÖSTERGÖTLANDS LÄN</t>
        </is>
      </c>
      <c r="G115" t="inlineStr">
        <is>
          <t>MJÖLBY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46232</v>
      </c>
      <c r="F116" t="inlineStr">
        <is>
          <t>ÖSTERGÖTLANDS LÄN</t>
        </is>
      </c>
      <c r="G116" t="inlineStr">
        <is>
          <t>MJÖLBY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46104</v>
      </c>
      <c r="E117" s="1" t="n">
        <v>46232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46104</v>
      </c>
      <c r="E118" s="1" t="n">
        <v>46232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46232</v>
      </c>
      <c r="F119" t="inlineStr">
        <is>
          <t>ÖSTERGÖTLANDS LÄN</t>
        </is>
      </c>
      <c r="G119" t="inlineStr">
        <is>
          <t>MJÖLBY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46108</v>
      </c>
      <c r="E120" s="1" t="n">
        <v>46232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46232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45324</v>
      </c>
      <c r="E122" s="1" t="n">
        <v>46232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Kyrkan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46232</v>
      </c>
      <c r="F123" t="inlineStr">
        <is>
          <t>ÖSTERGÖTLANDS LÄN</t>
        </is>
      </c>
      <c r="G123" t="inlineStr">
        <is>
          <t>MJÖLBY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45597</v>
      </c>
      <c r="E124" s="1" t="n">
        <v>46232</v>
      </c>
      <c r="F124" t="inlineStr">
        <is>
          <t>ÖSTERGÖTLANDS LÄN</t>
        </is>
      </c>
      <c r="G124" t="inlineStr">
        <is>
          <t>MJÖLBY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17700-2026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46121</v>
      </c>
      <c r="E125" s="1" t="n">
        <v>46232</v>
      </c>
      <c r="F125" t="inlineStr">
        <is>
          <t>ÖSTERGÖTLANDS LÄN</t>
        </is>
      </c>
      <c r="G125" t="inlineStr">
        <is>
          <t>MJÖLBY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46121</v>
      </c>
      <c r="E126" s="1" t="n">
        <v>46232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46232</v>
      </c>
      <c r="F127" t="inlineStr">
        <is>
          <t>ÖSTERGÖTLANDS LÄN</t>
        </is>
      </c>
      <c r="G127" t="inlineStr">
        <is>
          <t>MJÖLBY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58415-2021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44488</v>
      </c>
      <c r="E128" s="1" t="n">
        <v>46232</v>
      </c>
      <c r="F128" t="inlineStr">
        <is>
          <t>ÖSTERGÖTLANDS LÄN</t>
        </is>
      </c>
      <c r="G128" t="inlineStr">
        <is>
          <t>MJÖLBY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18517-2026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46232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46232</v>
      </c>
      <c r="F130" t="inlineStr">
        <is>
          <t>ÖSTERGÖTLANDS LÄN</t>
        </is>
      </c>
      <c r="G130" t="inlineStr">
        <is>
          <t>MJÖLBY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44442</v>
      </c>
      <c r="E131" s="1" t="n">
        <v>46232</v>
      </c>
      <c r="F131" t="inlineStr">
        <is>
          <t>ÖSTERGÖTLANDS LÄN</t>
        </is>
      </c>
      <c r="G131" t="inlineStr">
        <is>
          <t>MJÖLBY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46232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Kommuner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46232</v>
      </c>
      <c r="F133" t="inlineStr">
        <is>
          <t>ÖSTERGÖTLANDS LÄN</t>
        </is>
      </c>
      <c r="G133" t="inlineStr">
        <is>
          <t>MJÖLBY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46232</v>
      </c>
      <c r="F134" t="inlineStr">
        <is>
          <t>ÖSTERGÖTLANDS LÄN</t>
        </is>
      </c>
      <c r="G134" t="inlineStr">
        <is>
          <t>MJÖLBY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46232</v>
      </c>
      <c r="F135" t="inlineStr">
        <is>
          <t>ÖSTERGÖTLANDS LÄN</t>
        </is>
      </c>
      <c r="G135" t="inlineStr">
        <is>
          <t>MJÖLBY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46232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46232</v>
      </c>
      <c r="F137" t="inlineStr">
        <is>
          <t>ÖSTERGÖTLANDS LÄN</t>
        </is>
      </c>
      <c r="G137" t="inlineStr">
        <is>
          <t>MJÖLBY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45892</v>
      </c>
      <c r="E138" s="1" t="n">
        <v>46232</v>
      </c>
      <c r="F138" t="inlineStr">
        <is>
          <t>ÖSTERGÖTLANDS LÄN</t>
        </is>
      </c>
      <c r="G138" t="inlineStr">
        <is>
          <t>MJÖLBY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46232</v>
      </c>
      <c r="F139" t="inlineStr">
        <is>
          <t>ÖSTERGÖTLANDS LÄN</t>
        </is>
      </c>
      <c r="G139" t="inlineStr">
        <is>
          <t>MJÖLBY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46232</v>
      </c>
      <c r="F140" t="inlineStr">
        <is>
          <t>ÖSTERGÖTLANDS LÄN</t>
        </is>
      </c>
      <c r="G140" t="inlineStr">
        <is>
          <t>MJÖLBY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46232</v>
      </c>
      <c r="F141" t="inlineStr">
        <is>
          <t>ÖSTERGÖTLANDS LÄN</t>
        </is>
      </c>
      <c r="G141" t="inlineStr">
        <is>
          <t>MJÖLBY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44768</v>
      </c>
      <c r="E142" s="1" t="n">
        <v>46232</v>
      </c>
      <c r="F142" t="inlineStr">
        <is>
          <t>ÖSTERGÖTLANDS LÄN</t>
        </is>
      </c>
      <c r="G142" t="inlineStr">
        <is>
          <t>MJÖLBY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45177</v>
      </c>
      <c r="E143" s="1" t="n">
        <v>46232</v>
      </c>
      <c r="F143" t="inlineStr">
        <is>
          <t>ÖSTERGÖTLANDS LÄN</t>
        </is>
      </c>
      <c r="G143" t="inlineStr">
        <is>
          <t>MJÖLBY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46007</v>
      </c>
      <c r="E144" s="1" t="n">
        <v>46232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Kommuner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64934-2023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45282</v>
      </c>
      <c r="E145" s="1" t="n">
        <v>46232</v>
      </c>
      <c r="F145" t="inlineStr">
        <is>
          <t>ÖSTERGÖTLANDS LÄN</t>
        </is>
      </c>
      <c r="G145" t="inlineStr">
        <is>
          <t>MJÖLBY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46232</v>
      </c>
      <c r="F146" t="inlineStr">
        <is>
          <t>ÖSTERGÖTLANDS LÄN</t>
        </is>
      </c>
      <c r="G146" t="inlineStr">
        <is>
          <t>MJÖLBY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46232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46232</v>
      </c>
      <c r="F148" t="inlineStr">
        <is>
          <t>ÖSTERGÖTLANDS LÄN</t>
        </is>
      </c>
      <c r="G148" t="inlineStr">
        <is>
          <t>MJÖLBY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59410-2022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44907</v>
      </c>
      <c r="E149" s="1" t="n">
        <v>46232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59411-2022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44907</v>
      </c>
      <c r="E150" s="1" t="n">
        <v>46232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46232</v>
      </c>
      <c r="F151" t="inlineStr">
        <is>
          <t>ÖSTERGÖTLANDS LÄN</t>
        </is>
      </c>
      <c r="G151" t="inlineStr">
        <is>
          <t>MJÖLBY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46232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34521-2024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45525</v>
      </c>
      <c r="E153" s="1" t="n">
        <v>46232</v>
      </c>
      <c r="F153" t="inlineStr">
        <is>
          <t>ÖSTERGÖTLANDS LÄN</t>
        </is>
      </c>
      <c r="G153" t="inlineStr">
        <is>
          <t>MJÖLBY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28131-2026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46232</v>
      </c>
      <c r="F154" t="inlineStr">
        <is>
          <t>ÖSTERGÖTLANDS LÄN</t>
        </is>
      </c>
      <c r="G154" t="inlineStr">
        <is>
          <t>MJÖLBY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8658-2022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46232</v>
      </c>
      <c r="F155" t="inlineStr">
        <is>
          <t>ÖSTERGÖTLANDS LÄN</t>
        </is>
      </c>
      <c r="G155" t="inlineStr">
        <is>
          <t>MJÖLBY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46232</v>
      </c>
      <c r="F156" t="inlineStr">
        <is>
          <t>ÖSTERGÖTLANDS LÄN</t>
        </is>
      </c>
      <c r="G156" t="inlineStr">
        <is>
          <t>MJÖLBY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46232</v>
      </c>
      <c r="F157" t="inlineStr">
        <is>
          <t>ÖSTERGÖTLANDS LÄN</t>
        </is>
      </c>
      <c r="G157" t="inlineStr">
        <is>
          <t>MJÖLBY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46232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46232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46232</v>
      </c>
      <c r="F160" t="inlineStr">
        <is>
          <t>ÖSTERGÖTLANDS LÄN</t>
        </is>
      </c>
      <c r="G160" t="inlineStr">
        <is>
          <t>MJÖLBY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46232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46232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52655-2023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45225</v>
      </c>
      <c r="E163" s="1" t="n">
        <v>46232</v>
      </c>
      <c r="F163" t="inlineStr">
        <is>
          <t>ÖSTERGÖTLANDS LÄN</t>
        </is>
      </c>
      <c r="G163" t="inlineStr">
        <is>
          <t>MJÖLBY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46232</v>
      </c>
      <c r="F164" t="inlineStr">
        <is>
          <t>ÖSTERGÖTLANDS LÄN</t>
        </is>
      </c>
      <c r="G164" t="inlineStr">
        <is>
          <t>MJÖLBY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46232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Kyrkan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46232</v>
      </c>
      <c r="F166" t="inlineStr">
        <is>
          <t>ÖSTERGÖTLANDS LÄN</t>
        </is>
      </c>
      <c r="G166" t="inlineStr">
        <is>
          <t>MJÖLBY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68095-2021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46232</v>
      </c>
      <c r="F167" t="inlineStr">
        <is>
          <t>ÖSTERGÖTLANDS LÄN</t>
        </is>
      </c>
      <c r="G167" t="inlineStr">
        <is>
          <t>MJÖLBY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58800-2022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44903</v>
      </c>
      <c r="E168" s="1" t="n">
        <v>46232</v>
      </c>
      <c r="F168" t="inlineStr">
        <is>
          <t>ÖSTERGÖTLANDS LÄN</t>
        </is>
      </c>
      <c r="G168" t="inlineStr">
        <is>
          <t>MJÖLBY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44957</v>
      </c>
      <c r="E169" s="1" t="n">
        <v>46232</v>
      </c>
      <c r="F169" t="inlineStr">
        <is>
          <t>ÖSTERGÖTLANDS LÄN</t>
        </is>
      </c>
      <c r="G169" t="inlineStr">
        <is>
          <t>MJÖLBY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45372</v>
      </c>
      <c r="E170" s="1" t="n">
        <v>46232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51630-2021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46232</v>
      </c>
      <c r="F171" t="inlineStr">
        <is>
          <t>ÖSTERGÖTLANDS LÄN</t>
        </is>
      </c>
      <c r="G171" t="inlineStr">
        <is>
          <t>MJÖLBY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45401</v>
      </c>
      <c r="E172" s="1" t="n">
        <v>46232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46232</v>
      </c>
      <c r="F173" t="inlineStr">
        <is>
          <t>ÖSTERGÖTLANDS LÄN</t>
        </is>
      </c>
      <c r="G173" t="inlineStr">
        <is>
          <t>MJÖLBY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46232</v>
      </c>
      <c r="F174" t="inlineStr">
        <is>
          <t>ÖSTERGÖTLANDS LÄN</t>
        </is>
      </c>
      <c r="G174" t="inlineStr">
        <is>
          <t>MJÖLBY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46168</v>
      </c>
      <c r="E175" s="1" t="n">
        <v>46232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46232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46232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45342</v>
      </c>
      <c r="E178" s="1" t="n">
        <v>46232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Kyrkan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46232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25031-2026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46232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46171</v>
      </c>
      <c r="E181" s="1" t="n">
        <v>46232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46217</v>
      </c>
      <c r="E182" s="1" t="n">
        <v>46232</v>
      </c>
      <c r="F182" t="inlineStr">
        <is>
          <t>ÖSTERGÖTLANDS LÄN</t>
        </is>
      </c>
      <c r="G182" t="inlineStr">
        <is>
          <t>MJÖLBY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46217</v>
      </c>
      <c r="E183" s="1" t="n">
        <v>46232</v>
      </c>
      <c r="F183" t="inlineStr">
        <is>
          <t>ÖSTERGÖTLANDS LÄN</t>
        </is>
      </c>
      <c r="G183" t="inlineStr">
        <is>
          <t>MJÖLBY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46232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46232</v>
      </c>
      <c r="F185" t="inlineStr">
        <is>
          <t>ÖSTERGÖTLANDS LÄN</t>
        </is>
      </c>
      <c r="G185" t="inlineStr">
        <is>
          <t>MJÖLBY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46232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46216</v>
      </c>
      <c r="E187" s="1" t="n">
        <v>46232</v>
      </c>
      <c r="F187" t="inlineStr">
        <is>
          <t>ÖSTERGÖTLANDS LÄN</t>
        </is>
      </c>
      <c r="G187" t="inlineStr">
        <is>
          <t>MJÖLBY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46232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46232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24903-2026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46174</v>
      </c>
      <c r="E190" s="1" t="n">
        <v>46232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46232</v>
      </c>
      <c r="F191" t="inlineStr">
        <is>
          <t>ÖSTERGÖTLANDS LÄN</t>
        </is>
      </c>
      <c r="G191" t="inlineStr">
        <is>
          <t>MJÖLBY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46232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46232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46232</v>
      </c>
      <c r="F194" t="inlineStr">
        <is>
          <t>ÖSTERGÖTLANDS LÄN</t>
        </is>
      </c>
      <c r="G194" t="inlineStr">
        <is>
          <t>MJÖLBY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72558-2021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44546</v>
      </c>
      <c r="E195" s="1" t="n">
        <v>46232</v>
      </c>
      <c r="F195" t="inlineStr">
        <is>
          <t>ÖSTERGÖTLANDS LÄN</t>
        </is>
      </c>
      <c r="G195" t="inlineStr">
        <is>
          <t>MJÖLBY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46232</v>
      </c>
      <c r="F196" t="inlineStr">
        <is>
          <t>ÖSTERGÖTLANDS LÄN</t>
        </is>
      </c>
      <c r="G196" t="inlineStr">
        <is>
          <t>MJÖLBY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45293</v>
      </c>
      <c r="E197" s="1" t="n">
        <v>46232</v>
      </c>
      <c r="F197" t="inlineStr">
        <is>
          <t>ÖSTERGÖTLANDS LÄN</t>
        </is>
      </c>
      <c r="G197" t="inlineStr">
        <is>
          <t>MJÖLBY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27126-2026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46188</v>
      </c>
      <c r="E198" s="1" t="n">
        <v>46232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46232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46232</v>
      </c>
      <c r="F200" t="inlineStr">
        <is>
          <t>ÖSTERGÖTLANDS LÄN</t>
        </is>
      </c>
      <c r="G200" t="inlineStr">
        <is>
          <t>MJÖLBY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49566-2021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44455</v>
      </c>
      <c r="E201" s="1" t="n">
        <v>46232</v>
      </c>
      <c r="F201" t="inlineStr">
        <is>
          <t>ÖSTERGÖTLANDS LÄN</t>
        </is>
      </c>
      <c r="G201" t="inlineStr">
        <is>
          <t>MJÖLBY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15276-2022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44659</v>
      </c>
      <c r="E202" s="1" t="n">
        <v>46232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45037</v>
      </c>
      <c r="E203" s="1" t="n">
        <v>46232</v>
      </c>
      <c r="F203" t="inlineStr">
        <is>
          <t>ÖSTERGÖTLANDS LÄN</t>
        </is>
      </c>
      <c r="G203" t="inlineStr">
        <is>
          <t>MJÖLBY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46232</v>
      </c>
      <c r="F204" t="inlineStr">
        <is>
          <t>ÖSTERGÖTLANDS LÄN</t>
        </is>
      </c>
      <c r="G204" t="inlineStr">
        <is>
          <t>MJÖLBY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46232</v>
      </c>
      <c r="F205" t="inlineStr">
        <is>
          <t>ÖSTERGÖTLANDS LÄN</t>
        </is>
      </c>
      <c r="G205" t="inlineStr">
        <is>
          <t>MJÖLBY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46232</v>
      </c>
      <c r="F206" t="inlineStr">
        <is>
          <t>ÖSTERGÖTLANDS LÄN</t>
        </is>
      </c>
      <c r="G206" t="inlineStr">
        <is>
          <t>MJÖLBY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45539</v>
      </c>
      <c r="E207" s="1" t="n">
        <v>46232</v>
      </c>
      <c r="F207" t="inlineStr">
        <is>
          <t>ÖSTERGÖTLANDS LÄN</t>
        </is>
      </c>
      <c r="G207" t="inlineStr">
        <is>
          <t>MJÖLBY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46232</v>
      </c>
      <c r="F208" t="inlineStr">
        <is>
          <t>ÖSTERGÖTLANDS LÄN</t>
        </is>
      </c>
      <c r="G208" t="inlineStr">
        <is>
          <t>MJÖLBY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46232</v>
      </c>
      <c r="F209" t="inlineStr">
        <is>
          <t>ÖSTERGÖTLANDS LÄN</t>
        </is>
      </c>
      <c r="G209" t="inlineStr">
        <is>
          <t>MJÖLBY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46232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38278-2024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45545</v>
      </c>
      <c r="E211" s="1" t="n">
        <v>46232</v>
      </c>
      <c r="F211" t="inlineStr">
        <is>
          <t>ÖSTERGÖTLANDS LÄN</t>
        </is>
      </c>
      <c r="G211" t="inlineStr">
        <is>
          <t>MJÖLBY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46232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46232</v>
      </c>
      <c r="F213" t="inlineStr">
        <is>
          <t>ÖSTERGÖTLANDS LÄN</t>
        </is>
      </c>
      <c r="G213" t="inlineStr">
        <is>
          <t>MJÖLBY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46232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46232</v>
      </c>
      <c r="F215" t="inlineStr">
        <is>
          <t>ÖSTERGÖTLANDS LÄN</t>
        </is>
      </c>
      <c r="G215" t="inlineStr">
        <is>
          <t>MJÖLBY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46232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2026-07-29T01:52:34Z</dcterms:created>
  <dcterms:modified xmlns:dcterms="http://purl.org/dc/terms/" xmlns:xsi="http://www.w3.org/2001/XMLSchema-instance" xsi:type="dcterms:W3CDTF">2026-07-29T01:52:34Z</dcterms:modified>
</cp:coreProperties>
</file>