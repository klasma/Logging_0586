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50403-2022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44866</v>
      </c>
      <c r="E7" s="1" t="n">
        <v>46305</v>
      </c>
      <c r="F7" t="inlineStr">
        <is>
          <t>ÖSTERGÖTLANDS LÄN</t>
        </is>
      </c>
      <c r="G7" t="inlineStr">
        <is>
          <t>MJÖLBY</t>
        </is>
      </c>
      <c r="H7" t="inlineStr">
        <is>
          <t>Sveaskog</t>
        </is>
      </c>
      <c r="I7" t="n">
        <v>2.4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Springkorn</t>
        </is>
      </c>
      <c r="W7">
        <f>HYPERLINK("https://klasma.github.io/Logging_0586/artfynd/A 50403-2022 artfynd.xlsx", "A 50403-2022")</f>
        <v/>
      </c>
      <c r="X7">
        <f>HYPERLINK("https://klasma.github.io/Logging_0586/kartor/A 50403-2022 karta.png", "A 50403-2022")</f>
        <v/>
      </c>
      <c r="Y7">
        <f>HYPERLINK("https://klasma.github.io/Logging_0586/kartor_geotiff/A 50403-2022 georefererad karta.tif", "A 50403-2022")</f>
        <v/>
      </c>
      <c r="AA7">
        <f>HYPERLINK("https://klasma.github.io/Logging_0586/klagomål/A 50403-2022 FSC-klagomål.docx", "A 50403-2022")</f>
        <v/>
      </c>
      <c r="AB7">
        <f>HYPERLINK("https://klasma.github.io/Logging_0586/klagomålsmail/A 50403-2022 FSC-klagomål mail.docx", "A 50403-2022")</f>
        <v/>
      </c>
      <c r="AC7">
        <f>HYPERLINK("https://klasma.github.io/Logging_0586/tillsyn/A 50403-2022 tillsynsbegäran.docx", "A 50403-2022")</f>
        <v/>
      </c>
      <c r="AD7">
        <f>HYPERLINK("https://klasma.github.io/Logging_0586/tillsynsmail/A 50403-2022 tillsynsbegäran mail.docx", "A 50403-2022")</f>
        <v/>
      </c>
    </row>
    <row r="8" ht="15" customHeight="1">
      <c r="A8" t="inlineStr">
        <is>
          <t>A 33532-2024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45519</v>
      </c>
      <c r="E8" s="1" t="n">
        <v>46305</v>
      </c>
      <c r="F8" t="inlineStr">
        <is>
          <t>ÖSTERGÖTLANDS LÄN</t>
        </is>
      </c>
      <c r="G8" t="inlineStr">
        <is>
          <t>MJÖLBY</t>
        </is>
      </c>
      <c r="I8" t="n">
        <v>1.5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Backsippa</t>
        </is>
      </c>
      <c r="W8">
        <f>HYPERLINK("https://klasma.github.io/Logging_0586/artfynd/A 33532-2024 artfynd.xlsx", "A 33532-2024")</f>
        <v/>
      </c>
      <c r="X8">
        <f>HYPERLINK("https://klasma.github.io/Logging_0586/kartor/A 33532-2024 karta.png", "A 33532-2024")</f>
        <v/>
      </c>
      <c r="Y8">
        <f>HYPERLINK("https://klasma.github.io/Logging_0586/kartor_geotiff/A 33532-2024 georefererad karta.tif", "A 33532-2024")</f>
        <v/>
      </c>
      <c r="AA8">
        <f>HYPERLINK("https://klasma.github.io/Logging_0586/klagomål/A 33532-2024 FSC-klagomål.docx", "A 33532-2024")</f>
        <v/>
      </c>
      <c r="AB8">
        <f>HYPERLINK("https://klasma.github.io/Logging_0586/klagomålsmail/A 33532-2024 FSC-klagomål mail.docx", "A 33532-2024")</f>
        <v/>
      </c>
      <c r="AC8">
        <f>HYPERLINK("https://klasma.github.io/Logging_0586/tillsyn/A 33532-2024 tillsynsbegäran.docx", "A 33532-2024")</f>
        <v/>
      </c>
      <c r="AD8">
        <f>HYPERLINK("https://klasma.github.io/Logging_0586/tillsynsmail/A 33532-2024 tillsynsbegäran mail.docx", "A 33532-2024")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46305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46305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46305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53521-2023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46305</v>
      </c>
      <c r="F12" t="inlineStr">
        <is>
          <t>ÖSTERGÖTLANDS LÄN</t>
        </is>
      </c>
      <c r="G12" t="inlineStr">
        <is>
          <t>MJÖLBY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Skogsduva</t>
        </is>
      </c>
      <c r="W12">
        <f>HYPERLINK("https://klasma.github.io/Logging_0586/artfynd/A 53521-2023 artfynd.xlsx", "A 53521-2023")</f>
        <v/>
      </c>
      <c r="X12">
        <f>HYPERLINK("https://klasma.github.io/Logging_0586/kartor/A 53521-2023 karta.png", "A 53521-2023")</f>
        <v/>
      </c>
      <c r="Y12">
        <f>HYPERLINK("https://klasma.github.io/Logging_0586/kartor_geotiff/A 53521-2023 georefererad karta.tif", "A 53521-2023")</f>
        <v/>
      </c>
      <c r="AA12">
        <f>HYPERLINK("https://klasma.github.io/Logging_0586/klagomål/A 53521-2023 FSC-klagomål.docx", "A 53521-2023")</f>
        <v/>
      </c>
      <c r="AB12">
        <f>HYPERLINK("https://klasma.github.io/Logging_0586/klagomålsmail/A 53521-2023 FSC-klagomål mail.docx", "A 53521-2023")</f>
        <v/>
      </c>
      <c r="AC12">
        <f>HYPERLINK("https://klasma.github.io/Logging_0586/tillsyn/A 53521-2023 tillsynsbegäran.docx", "A 53521-2023")</f>
        <v/>
      </c>
      <c r="AD12">
        <f>HYPERLINK("https://klasma.github.io/Logging_0586/tillsynsmail/A 53521-2023 tillsynsbegäran mail.docx", "A 53521-2023")</f>
        <v/>
      </c>
    </row>
    <row r="13" ht="15" customHeight="1">
      <c r="A13" t="inlineStr">
        <is>
          <t>A 2230-2025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46305</v>
      </c>
      <c r="F13" t="inlineStr">
        <is>
          <t>ÖSTERGÖTLANDS LÄN</t>
        </is>
      </c>
      <c r="G13" t="inlineStr">
        <is>
          <t>MJÖLBY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Fläcknycklar</t>
        </is>
      </c>
      <c r="W13">
        <f>HYPERLINK("https://klasma.github.io/Logging_0586/artfynd/A 2230-2025 artfynd.xlsx", "A 2230-2025")</f>
        <v/>
      </c>
      <c r="X13">
        <f>HYPERLINK("https://klasma.github.io/Logging_0586/kartor/A 2230-2025 karta.png", "A 2230-2025")</f>
        <v/>
      </c>
      <c r="Y13">
        <f>HYPERLINK("https://klasma.github.io/Logging_0586/kartor_geotiff/A 2230-2025 georefererad karta.tif", "A 2230-2025")</f>
        <v/>
      </c>
      <c r="AA13">
        <f>HYPERLINK("https://klasma.github.io/Logging_0586/klagomål/A 2230-2025 FSC-klagomål.docx", "A 2230-2025")</f>
        <v/>
      </c>
      <c r="AB13">
        <f>HYPERLINK("https://klasma.github.io/Logging_0586/klagomålsmail/A 2230-2025 FSC-klagomål mail.docx", "A 2230-2025")</f>
        <v/>
      </c>
      <c r="AC13">
        <f>HYPERLINK("https://klasma.github.io/Logging_0586/tillsyn/A 2230-2025 tillsynsbegäran.docx", "A 2230-2025")</f>
        <v/>
      </c>
      <c r="AD13">
        <f>HYPERLINK("https://klasma.github.io/Logging_0586/tillsynsmail/A 2230-2025 tillsynsbegäran mail.docx", "A 2230-2025")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46305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46305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46305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46305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46305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46305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46305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46305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46305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46305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46305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41635-2026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46301</v>
      </c>
      <c r="E25" s="1" t="n">
        <v>46305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HYPERLINK("https://klasma.github.io/Logging_0586/artfynd/A 41635-2026 artfynd.xlsx", "A 41635-2026")</f>
        <v/>
      </c>
      <c r="X25">
        <f>HYPERLINK("https://klasma.github.io/Logging_0586/kartor/A 41635-2026 karta.png", "A 41635-2026")</f>
        <v/>
      </c>
      <c r="Y25">
        <f>HYPERLINK("https://klasma.github.io/Logging_0586/kartor_geotiff/A 41635-2026 georefererad karta.tif", "A 41635-2026")</f>
        <v/>
      </c>
      <c r="AA25">
        <f>HYPERLINK("https://klasma.github.io/Logging_0586/klagomål/A 41635-2026 FSC-klagomål.docx", "A 41635-2026")</f>
        <v/>
      </c>
      <c r="AB25">
        <f>HYPERLINK("https://klasma.github.io/Logging_0586/klagomålsmail/A 41635-2026 FSC-klagomål mail.docx", "A 41635-2026")</f>
        <v/>
      </c>
      <c r="AC25">
        <f>HYPERLINK("https://klasma.github.io/Logging_0586/tillsyn/A 41635-2026 tillsynsbegäran.docx", "A 41635-2026")</f>
        <v/>
      </c>
      <c r="AD25">
        <f>HYPERLINK("https://klasma.github.io/Logging_0586/tillsynsmail/A 41635-2026 tillsynsbegäran mail.docx", "A 41635-2026")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46305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46305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56458-2021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44480</v>
      </c>
      <c r="E28" s="1" t="n">
        <v>46305</v>
      </c>
      <c r="F28" t="inlineStr">
        <is>
          <t>ÖSTERGÖTLANDS LÄN</t>
        </is>
      </c>
      <c r="G28" t="inlineStr">
        <is>
          <t>MJÖLBY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1552-2022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46305</v>
      </c>
      <c r="F29" t="inlineStr">
        <is>
          <t>ÖSTERGÖTLANDS LÄN</t>
        </is>
      </c>
      <c r="G29" t="inlineStr">
        <is>
          <t>MJÖLBY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72290-2021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44545</v>
      </c>
      <c r="E30" s="1" t="n">
        <v>46305</v>
      </c>
      <c r="F30" t="inlineStr">
        <is>
          <t>ÖSTERGÖTLANDS LÄN</t>
        </is>
      </c>
      <c r="G30" t="inlineStr">
        <is>
          <t>MJÖLBY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46305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46305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45176</v>
      </c>
      <c r="E33" s="1" t="n">
        <v>46305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46305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46305</v>
      </c>
      <c r="F35" t="inlineStr">
        <is>
          <t>ÖSTERGÖTLANDS LÄN</t>
        </is>
      </c>
      <c r="G35" t="inlineStr">
        <is>
          <t>MJÖLBY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46305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46305</v>
      </c>
      <c r="F37" t="inlineStr">
        <is>
          <t>ÖSTERGÖTLANDS LÄN</t>
        </is>
      </c>
      <c r="G37" t="inlineStr">
        <is>
          <t>MJÖLBY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46305</v>
      </c>
      <c r="F38" t="inlineStr">
        <is>
          <t>ÖSTERGÖTLANDS LÄN</t>
        </is>
      </c>
      <c r="G38" t="inlineStr">
        <is>
          <t>MJÖLBY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46305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45020</v>
      </c>
      <c r="E40" s="1" t="n">
        <v>46305</v>
      </c>
      <c r="F40" t="inlineStr">
        <is>
          <t>ÖSTERGÖTLANDS LÄN</t>
        </is>
      </c>
      <c r="G40" t="inlineStr">
        <is>
          <t>MJÖLBY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46305</v>
      </c>
      <c r="F41" t="inlineStr">
        <is>
          <t>ÖSTERGÖTLANDS LÄN</t>
        </is>
      </c>
      <c r="G41" t="inlineStr">
        <is>
          <t>MJÖLBY</t>
        </is>
      </c>
      <c r="H41" t="inlineStr">
        <is>
          <t>Kommuner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58800-2022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44903</v>
      </c>
      <c r="E42" s="1" t="n">
        <v>46305</v>
      </c>
      <c r="F42" t="inlineStr">
        <is>
          <t>ÖSTERGÖTLANDS LÄN</t>
        </is>
      </c>
      <c r="G42" t="inlineStr">
        <is>
          <t>MJÖLBY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45342</v>
      </c>
      <c r="E43" s="1" t="n">
        <v>46305</v>
      </c>
      <c r="F43" t="inlineStr">
        <is>
          <t>ÖSTERGÖTLANDS LÄN</t>
        </is>
      </c>
      <c r="G43" t="inlineStr">
        <is>
          <t>MJÖLBY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46305</v>
      </c>
      <c r="F44" t="inlineStr">
        <is>
          <t>ÖSTERGÖTLANDS LÄN</t>
        </is>
      </c>
      <c r="G44" t="inlineStr">
        <is>
          <t>MJÖLBY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46305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46305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46305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46305</v>
      </c>
      <c r="F48" t="inlineStr">
        <is>
          <t>ÖSTERGÖTLANDS LÄN</t>
        </is>
      </c>
      <c r="G48" t="inlineStr">
        <is>
          <t>MJÖLBY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59411-2022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44907</v>
      </c>
      <c r="E49" s="1" t="n">
        <v>46305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45177</v>
      </c>
      <c r="E50" s="1" t="n">
        <v>46305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45250</v>
      </c>
      <c r="E51" s="1" t="n">
        <v>46305</v>
      </c>
      <c r="F51" t="inlineStr">
        <is>
          <t>ÖSTERGÖTLANDS LÄN</t>
        </is>
      </c>
      <c r="G51" t="inlineStr">
        <is>
          <t>MJÖLBY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46305</v>
      </c>
      <c r="F52" t="inlineStr">
        <is>
          <t>ÖSTERGÖTLANDS LÄN</t>
        </is>
      </c>
      <c r="G52" t="inlineStr">
        <is>
          <t>MJÖLBY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46305</v>
      </c>
      <c r="F53" t="inlineStr">
        <is>
          <t>ÖSTERGÖTLANDS LÄN</t>
        </is>
      </c>
      <c r="G53" t="inlineStr">
        <is>
          <t>MJÖLBY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44907</v>
      </c>
      <c r="E54" s="1" t="n">
        <v>46305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46305</v>
      </c>
      <c r="F55" t="inlineStr">
        <is>
          <t>ÖSTERGÖTLANDS LÄN</t>
        </is>
      </c>
      <c r="G55" t="inlineStr">
        <is>
          <t>MJÖLBY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46305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46305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46305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44980</v>
      </c>
      <c r="E59" s="1" t="n">
        <v>46305</v>
      </c>
      <c r="F59" t="inlineStr">
        <is>
          <t>ÖSTERGÖTLANDS LÄN</t>
        </is>
      </c>
      <c r="G59" t="inlineStr">
        <is>
          <t>MJÖLBY</t>
        </is>
      </c>
      <c r="H59" t="inlineStr">
        <is>
          <t>Kyrkan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16304-2024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45407</v>
      </c>
      <c r="E60" s="1" t="n">
        <v>46305</v>
      </c>
      <c r="F60" t="inlineStr">
        <is>
          <t>ÖSTERGÖTLANDS LÄN</t>
        </is>
      </c>
      <c r="G60" t="inlineStr">
        <is>
          <t>MJÖLBY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45269</v>
      </c>
      <c r="E61" s="1" t="n">
        <v>46305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46305</v>
      </c>
      <c r="F62" t="inlineStr">
        <is>
          <t>ÖSTERGÖTLANDS LÄN</t>
        </is>
      </c>
      <c r="G62" t="inlineStr">
        <is>
          <t>MJÖLBY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46305</v>
      </c>
      <c r="F63" t="inlineStr">
        <is>
          <t>ÖSTERGÖTLANDS LÄN</t>
        </is>
      </c>
      <c r="G63" t="inlineStr">
        <is>
          <t>MJÖLBY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46305</v>
      </c>
      <c r="F64" t="inlineStr">
        <is>
          <t>ÖSTERGÖTLANDS LÄN</t>
        </is>
      </c>
      <c r="G64" t="inlineStr">
        <is>
          <t>MJÖLBY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45293</v>
      </c>
      <c r="E65" s="1" t="n">
        <v>46305</v>
      </c>
      <c r="F65" t="inlineStr">
        <is>
          <t>ÖSTERGÖTLANDS LÄN</t>
        </is>
      </c>
      <c r="G65" t="inlineStr">
        <is>
          <t>MJÖLBY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45301</v>
      </c>
      <c r="E66" s="1" t="n">
        <v>46305</v>
      </c>
      <c r="F66" t="inlineStr">
        <is>
          <t>ÖSTERGÖTLANDS LÄN</t>
        </is>
      </c>
      <c r="G66" t="inlineStr">
        <is>
          <t>MJÖLBY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46305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46305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46305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46305</v>
      </c>
      <c r="F70" t="inlineStr">
        <is>
          <t>ÖSTERGÖTLANDS LÄN</t>
        </is>
      </c>
      <c r="G70" t="inlineStr">
        <is>
          <t>MJÖLBY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46305</v>
      </c>
      <c r="F71" t="inlineStr">
        <is>
          <t>ÖSTERGÖTLANDS LÄN</t>
        </is>
      </c>
      <c r="G71" t="inlineStr">
        <is>
          <t>MJÖLBY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65921-2021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46305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46305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46305</v>
      </c>
      <c r="F74" t="inlineStr">
        <is>
          <t>ÖSTERGÖTLANDS LÄN</t>
        </is>
      </c>
      <c r="G74" t="inlineStr">
        <is>
          <t>MJÖLBY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38278-2024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45545</v>
      </c>
      <c r="E75" s="1" t="n">
        <v>46305</v>
      </c>
      <c r="F75" t="inlineStr">
        <is>
          <t>ÖSTERGÖTLANDS LÄN</t>
        </is>
      </c>
      <c r="G75" t="inlineStr">
        <is>
          <t>MJÖLBY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45384</v>
      </c>
      <c r="E76" s="1" t="n">
        <v>46305</v>
      </c>
      <c r="F76" t="inlineStr">
        <is>
          <t>ÖSTERGÖTLANDS LÄN</t>
        </is>
      </c>
      <c r="G76" t="inlineStr">
        <is>
          <t>MJÖLBY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46305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46305</v>
      </c>
      <c r="F78" t="inlineStr">
        <is>
          <t>ÖSTERGÖTLANDS LÄN</t>
        </is>
      </c>
      <c r="G78" t="inlineStr">
        <is>
          <t>MJÖLBY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46305</v>
      </c>
      <c r="F79" t="inlineStr">
        <is>
          <t>ÖSTERGÖTLANDS LÄN</t>
        </is>
      </c>
      <c r="G79" t="inlineStr">
        <is>
          <t>MJÖLBY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46305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45526</v>
      </c>
      <c r="E81" s="1" t="n">
        <v>46305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46305</v>
      </c>
      <c r="F82" t="inlineStr">
        <is>
          <t>ÖSTERGÖTLANDS LÄN</t>
        </is>
      </c>
      <c r="G82" t="inlineStr">
        <is>
          <t>MJÖLBY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46305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46305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46305</v>
      </c>
      <c r="F85" t="inlineStr">
        <is>
          <t>ÖSTERGÖTLANDS LÄN</t>
        </is>
      </c>
      <c r="G85" t="inlineStr">
        <is>
          <t>MJÖLBY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46305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46305</v>
      </c>
      <c r="F87" t="inlineStr">
        <is>
          <t>ÖSTERGÖTLANDS LÄN</t>
        </is>
      </c>
      <c r="G87" t="inlineStr">
        <is>
          <t>MJÖLBY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46305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46305</v>
      </c>
      <c r="F89" t="inlineStr">
        <is>
          <t>ÖSTERGÖTLANDS LÄN</t>
        </is>
      </c>
      <c r="G89" t="inlineStr">
        <is>
          <t>MJÖLBY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46305</v>
      </c>
      <c r="F90" t="inlineStr">
        <is>
          <t>ÖSTERGÖTLANDS LÄN</t>
        </is>
      </c>
      <c r="G90" t="inlineStr">
        <is>
          <t>MJÖLBY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43012-2024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45567</v>
      </c>
      <c r="E91" s="1" t="n">
        <v>46305</v>
      </c>
      <c r="F91" t="inlineStr">
        <is>
          <t>ÖSTERGÖTLANDS LÄN</t>
        </is>
      </c>
      <c r="G91" t="inlineStr">
        <is>
          <t>MJÖLBY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45314</v>
      </c>
      <c r="E92" s="1" t="n">
        <v>46305</v>
      </c>
      <c r="F92" t="inlineStr">
        <is>
          <t>ÖSTERGÖTLANDS LÄN</t>
        </is>
      </c>
      <c r="G92" t="inlineStr">
        <is>
          <t>MJÖLBY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46305</v>
      </c>
      <c r="F93" t="inlineStr">
        <is>
          <t>ÖSTERGÖTLANDS LÄN</t>
        </is>
      </c>
      <c r="G93" t="inlineStr">
        <is>
          <t>MJÖLBY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46305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46305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46305</v>
      </c>
      <c r="F96" t="inlineStr">
        <is>
          <t>ÖSTERGÖTLANDS LÄN</t>
        </is>
      </c>
      <c r="G96" t="inlineStr">
        <is>
          <t>MJÖLBY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46305</v>
      </c>
      <c r="F97" t="inlineStr">
        <is>
          <t>ÖSTERGÖTLANDS LÄN</t>
        </is>
      </c>
      <c r="G97" t="inlineStr">
        <is>
          <t>MJÖLBY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44936</v>
      </c>
      <c r="E98" s="1" t="n">
        <v>46305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45282</v>
      </c>
      <c r="E99" s="1" t="n">
        <v>46305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45798</v>
      </c>
      <c r="E100" s="1" t="n">
        <v>46305</v>
      </c>
      <c r="F100" t="inlineStr">
        <is>
          <t>ÖSTERGÖTLANDS LÄN</t>
        </is>
      </c>
      <c r="G100" t="inlineStr">
        <is>
          <t>MJÖLBY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46305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46305</v>
      </c>
      <c r="F102" t="inlineStr">
        <is>
          <t>ÖSTERGÖTLANDS LÄN</t>
        </is>
      </c>
      <c r="G102" t="inlineStr">
        <is>
          <t>MJÖLBY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46305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46305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46305</v>
      </c>
      <c r="F105" t="inlineStr">
        <is>
          <t>ÖSTERGÖTLANDS LÄN</t>
        </is>
      </c>
      <c r="G105" t="inlineStr">
        <is>
          <t>MJÖLBY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46305</v>
      </c>
      <c r="F106" t="inlineStr">
        <is>
          <t>ÖSTERGÖTLANDS LÄN</t>
        </is>
      </c>
      <c r="G106" t="inlineStr">
        <is>
          <t>MJÖLBY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46305</v>
      </c>
      <c r="F107" t="inlineStr">
        <is>
          <t>ÖSTERGÖTLANDS LÄN</t>
        </is>
      </c>
      <c r="G107" t="inlineStr">
        <is>
          <t>MJÖLBY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46305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46305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45674</v>
      </c>
      <c r="E110" s="1" t="n">
        <v>46305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45673</v>
      </c>
      <c r="E111" s="1" t="n">
        <v>46305</v>
      </c>
      <c r="F111" t="inlineStr">
        <is>
          <t>ÖSTERGÖTLANDS LÄN</t>
        </is>
      </c>
      <c r="G111" t="inlineStr">
        <is>
          <t>MJÖLBY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27232-2025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46305</v>
      </c>
      <c r="F112" t="inlineStr">
        <is>
          <t>ÖSTERGÖTLANDS LÄN</t>
        </is>
      </c>
      <c r="G112" t="inlineStr">
        <is>
          <t>MJÖLBY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46305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46305</v>
      </c>
      <c r="F114" t="inlineStr">
        <is>
          <t>ÖSTERGÖTLANDS LÄN</t>
        </is>
      </c>
      <c r="G114" t="inlineStr">
        <is>
          <t>MJÖLBY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46305</v>
      </c>
      <c r="F115" t="inlineStr">
        <is>
          <t>ÖSTERGÖTLANDS LÄN</t>
        </is>
      </c>
      <c r="G115" t="inlineStr">
        <is>
          <t>MJÖLBY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46305</v>
      </c>
      <c r="F116" t="inlineStr">
        <is>
          <t>ÖSTERGÖTLANDS LÄN</t>
        </is>
      </c>
      <c r="G116" t="inlineStr">
        <is>
          <t>MJÖLBY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46305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44946</v>
      </c>
      <c r="E118" s="1" t="n">
        <v>46305</v>
      </c>
      <c r="F118" t="inlineStr">
        <is>
          <t>ÖSTERGÖTLANDS LÄN</t>
        </is>
      </c>
      <c r="G118" t="inlineStr">
        <is>
          <t>MJÖLBY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46305</v>
      </c>
      <c r="F119" t="inlineStr">
        <is>
          <t>ÖSTERGÖTLANDS LÄN</t>
        </is>
      </c>
      <c r="G119" t="inlineStr">
        <is>
          <t>MJÖLBY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46305</v>
      </c>
      <c r="F120" t="inlineStr">
        <is>
          <t>ÖSTERGÖTLANDS LÄN</t>
        </is>
      </c>
      <c r="G120" t="inlineStr">
        <is>
          <t>MJÖLBY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46305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46305</v>
      </c>
      <c r="F122" t="inlineStr">
        <is>
          <t>ÖSTERGÖTLANDS LÄN</t>
        </is>
      </c>
      <c r="G122" t="inlineStr">
        <is>
          <t>MJÖLBY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46305</v>
      </c>
      <c r="F123" t="inlineStr">
        <is>
          <t>ÖSTERGÖTLANDS LÄN</t>
        </is>
      </c>
      <c r="G123" t="inlineStr">
        <is>
          <t>MJÖLBY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44770-2025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45917</v>
      </c>
      <c r="E124" s="1" t="n">
        <v>46305</v>
      </c>
      <c r="F124" t="inlineStr">
        <is>
          <t>ÖSTERGÖTLANDS LÄN</t>
        </is>
      </c>
      <c r="G124" t="inlineStr">
        <is>
          <t>MJÖLBY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45917</v>
      </c>
      <c r="E125" s="1" t="n">
        <v>46305</v>
      </c>
      <c r="F125" t="inlineStr">
        <is>
          <t>ÖSTERGÖTLANDS LÄN</t>
        </is>
      </c>
      <c r="G125" t="inlineStr">
        <is>
          <t>MJÖLBY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45273</v>
      </c>
      <c r="E126" s="1" t="n">
        <v>46305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46305</v>
      </c>
      <c r="F127" t="inlineStr">
        <is>
          <t>ÖSTERGÖTLANDS LÄN</t>
        </is>
      </c>
      <c r="G127" t="inlineStr">
        <is>
          <t>MJÖLBY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46305</v>
      </c>
      <c r="F128" t="inlineStr">
        <is>
          <t>ÖSTERGÖTLANDS LÄN</t>
        </is>
      </c>
      <c r="G128" t="inlineStr">
        <is>
          <t>MJÖLBY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46305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Allmännings- och besparingsskogar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46305</v>
      </c>
      <c r="F130" t="inlineStr">
        <is>
          <t>ÖSTERGÖTLANDS LÄN</t>
        </is>
      </c>
      <c r="G130" t="inlineStr">
        <is>
          <t>MJÖLBY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46305</v>
      </c>
      <c r="F131" t="inlineStr">
        <is>
          <t>ÖSTERGÖTLANDS LÄN</t>
        </is>
      </c>
      <c r="G131" t="inlineStr">
        <is>
          <t>MJÖLBY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46305</v>
      </c>
      <c r="F132" t="inlineStr">
        <is>
          <t>ÖSTERGÖTLANDS LÄN</t>
        </is>
      </c>
      <c r="G132" t="inlineStr">
        <is>
          <t>MJÖLBY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46305</v>
      </c>
      <c r="F133" t="inlineStr">
        <is>
          <t>ÖSTERGÖTLANDS LÄN</t>
        </is>
      </c>
      <c r="G133" t="inlineStr">
        <is>
          <t>MJÖLBY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46305</v>
      </c>
      <c r="F134" t="inlineStr">
        <is>
          <t>ÖSTERGÖTLANDS LÄN</t>
        </is>
      </c>
      <c r="G134" t="inlineStr">
        <is>
          <t>MJÖLBY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45979</v>
      </c>
      <c r="E135" s="1" t="n">
        <v>46305</v>
      </c>
      <c r="F135" t="inlineStr">
        <is>
          <t>ÖSTERGÖTLANDS LÄN</t>
        </is>
      </c>
      <c r="G135" t="inlineStr">
        <is>
          <t>MJÖLBY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45882</v>
      </c>
      <c r="E136" s="1" t="n">
        <v>46305</v>
      </c>
      <c r="F136" t="inlineStr">
        <is>
          <t>ÖSTERGÖTLANDS LÄN</t>
        </is>
      </c>
      <c r="G136" t="inlineStr">
        <is>
          <t>MJÖLBY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46305</v>
      </c>
      <c r="F137" t="inlineStr">
        <is>
          <t>ÖSTERGÖTLANDS LÄN</t>
        </is>
      </c>
      <c r="G137" t="inlineStr">
        <is>
          <t>MJÖLBY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46305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46305</v>
      </c>
      <c r="F139" t="inlineStr">
        <is>
          <t>ÖSTERGÖTLANDS LÄN</t>
        </is>
      </c>
      <c r="G139" t="inlineStr">
        <is>
          <t>MJÖLBY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46305</v>
      </c>
      <c r="F140" t="inlineStr">
        <is>
          <t>ÖSTERGÖTLANDS LÄN</t>
        </is>
      </c>
      <c r="G140" t="inlineStr">
        <is>
          <t>MJÖLBY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46305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46305</v>
      </c>
      <c r="F142" t="inlineStr">
        <is>
          <t>ÖSTERGÖTLANDS LÄN</t>
        </is>
      </c>
      <c r="G142" t="inlineStr">
        <is>
          <t>MJÖLBY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46305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46305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52655-2023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45225</v>
      </c>
      <c r="E145" s="1" t="n">
        <v>46305</v>
      </c>
      <c r="F145" t="inlineStr">
        <is>
          <t>ÖSTERGÖTLANDS LÄN</t>
        </is>
      </c>
      <c r="G145" t="inlineStr">
        <is>
          <t>MJÖLBY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46305</v>
      </c>
      <c r="F146" t="inlineStr">
        <is>
          <t>ÖSTERGÖTLANDS LÄN</t>
        </is>
      </c>
      <c r="G146" t="inlineStr">
        <is>
          <t>MJÖLBY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46305</v>
      </c>
      <c r="F147" t="inlineStr">
        <is>
          <t>ÖSTERGÖTLANDS LÄN</t>
        </is>
      </c>
      <c r="G147" t="inlineStr">
        <is>
          <t>MJÖLBY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46305</v>
      </c>
      <c r="F148" t="inlineStr">
        <is>
          <t>ÖSTERGÖTLANDS LÄN</t>
        </is>
      </c>
      <c r="G148" t="inlineStr">
        <is>
          <t>MJÖLBY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46305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46305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46305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46305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44663</v>
      </c>
      <c r="E153" s="1" t="n">
        <v>46305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46305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46305</v>
      </c>
      <c r="F155" t="inlineStr">
        <is>
          <t>ÖSTERGÖTLANDS LÄN</t>
        </is>
      </c>
      <c r="G155" t="inlineStr">
        <is>
          <t>MJÖLBY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46305</v>
      </c>
      <c r="F156" t="inlineStr">
        <is>
          <t>ÖSTERGÖTLANDS LÄN</t>
        </is>
      </c>
      <c r="G156" t="inlineStr">
        <is>
          <t>MJÖLBY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46305</v>
      </c>
      <c r="F157" t="inlineStr">
        <is>
          <t>ÖSTERGÖTLANDS LÄN</t>
        </is>
      </c>
      <c r="G157" t="inlineStr">
        <is>
          <t>MJÖLBY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46305</v>
      </c>
      <c r="F158" t="inlineStr">
        <is>
          <t>ÖSTERGÖTLANDS LÄN</t>
        </is>
      </c>
      <c r="G158" t="inlineStr">
        <is>
          <t>MJÖLBY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46127</v>
      </c>
      <c r="E159" s="1" t="n">
        <v>46305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46305</v>
      </c>
      <c r="F160" t="inlineStr">
        <is>
          <t>ÖSTERGÖTLANDS LÄN</t>
        </is>
      </c>
      <c r="G160" t="inlineStr">
        <is>
          <t>MJÖLBY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46305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45892</v>
      </c>
      <c r="E162" s="1" t="n">
        <v>46305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46305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46305</v>
      </c>
      <c r="F164" t="inlineStr">
        <is>
          <t>ÖSTERGÖTLANDS LÄN</t>
        </is>
      </c>
      <c r="G164" t="inlineStr">
        <is>
          <t>MJÖLBY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46305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44580</v>
      </c>
      <c r="E166" s="1" t="n">
        <v>46305</v>
      </c>
      <c r="F166" t="inlineStr">
        <is>
          <t>ÖSTERGÖTLANDS LÄN</t>
        </is>
      </c>
      <c r="G166" t="inlineStr">
        <is>
          <t>MJÖLBY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46305</v>
      </c>
      <c r="F167" t="inlineStr">
        <is>
          <t>ÖSTERGÖTLANDS LÄN</t>
        </is>
      </c>
      <c r="G167" t="inlineStr">
        <is>
          <t>MJÖLBY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46305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44768</v>
      </c>
      <c r="E169" s="1" t="n">
        <v>46305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46305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45324</v>
      </c>
      <c r="E171" s="1" t="n">
        <v>46305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46305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Kommuner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46305</v>
      </c>
      <c r="F173" t="inlineStr">
        <is>
          <t>ÖSTERGÖTLANDS LÄN</t>
        </is>
      </c>
      <c r="G173" t="inlineStr">
        <is>
          <t>MJÖLBY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46305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46305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46305</v>
      </c>
      <c r="F176" t="inlineStr">
        <is>
          <t>ÖSTERGÖTLANDS LÄN</t>
        </is>
      </c>
      <c r="G176" t="inlineStr">
        <is>
          <t>MJÖLBY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46305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46305</v>
      </c>
      <c r="F178" t="inlineStr">
        <is>
          <t>ÖSTERGÖTLANDS LÄN</t>
        </is>
      </c>
      <c r="G178" t="inlineStr">
        <is>
          <t>MJÖLBY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46305</v>
      </c>
      <c r="F179" t="inlineStr">
        <is>
          <t>ÖSTERGÖTLANDS LÄN</t>
        </is>
      </c>
      <c r="G179" t="inlineStr">
        <is>
          <t>MJÖLBY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46305</v>
      </c>
      <c r="F180" t="inlineStr">
        <is>
          <t>ÖSTERGÖTLANDS LÄN</t>
        </is>
      </c>
      <c r="G180" t="inlineStr">
        <is>
          <t>MJÖLBY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46305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46305</v>
      </c>
      <c r="F182" t="inlineStr">
        <is>
          <t>ÖSTERGÖTLANDS LÄN</t>
        </is>
      </c>
      <c r="G182" t="inlineStr">
        <is>
          <t>MJÖLBY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46305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46305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24903-2026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46174</v>
      </c>
      <c r="E185" s="1" t="n">
        <v>46305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46305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46305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46305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46305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46305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46305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27126-2026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46188</v>
      </c>
      <c r="E192" s="1" t="n">
        <v>46305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46305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46305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46305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46305</v>
      </c>
      <c r="F196" t="inlineStr">
        <is>
          <t>ÖSTERGÖTLANDS LÄN</t>
        </is>
      </c>
      <c r="G196" t="inlineStr">
        <is>
          <t>MJÖLBY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46217</v>
      </c>
      <c r="E197" s="1" t="n">
        <v>46305</v>
      </c>
      <c r="F197" t="inlineStr">
        <is>
          <t>ÖSTERGÖTLANDS LÄN</t>
        </is>
      </c>
      <c r="G197" t="inlineStr">
        <is>
          <t>MJÖLBY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46217</v>
      </c>
      <c r="E198" s="1" t="n">
        <v>46305</v>
      </c>
      <c r="F198" t="inlineStr">
        <is>
          <t>ÖSTERGÖTLANDS LÄN</t>
        </is>
      </c>
      <c r="G198" t="inlineStr">
        <is>
          <t>MJÖLBY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46305</v>
      </c>
      <c r="F199" t="inlineStr">
        <is>
          <t>ÖSTERGÖTLANDS LÄN</t>
        </is>
      </c>
      <c r="G199" t="inlineStr">
        <is>
          <t>MJÖLBY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46305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46305</v>
      </c>
      <c r="F201" t="inlineStr">
        <is>
          <t>ÖSTERGÖTLANDS LÄN</t>
        </is>
      </c>
      <c r="G201" t="inlineStr">
        <is>
          <t>MJÖLBY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46305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46305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46305</v>
      </c>
      <c r="F204" t="inlineStr">
        <is>
          <t>ÖSTERGÖTLANDS LÄN</t>
        </is>
      </c>
      <c r="G204" t="inlineStr">
        <is>
          <t>MJÖLBY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46232</v>
      </c>
      <c r="E205" s="1" t="n">
        <v>46305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46305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46305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46305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46305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46305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46279</v>
      </c>
      <c r="E211" s="1" t="n">
        <v>46305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46305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46305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46305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46305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46305</v>
      </c>
      <c r="F216" t="inlineStr">
        <is>
          <t>ÖSTERGÖTLANDS LÄN</t>
        </is>
      </c>
      <c r="G216" t="inlineStr">
        <is>
          <t>MJÖLBY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46305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46305</v>
      </c>
      <c r="F218" t="inlineStr">
        <is>
          <t>ÖSTERGÖTLANDS LÄN</t>
        </is>
      </c>
      <c r="G218" t="inlineStr">
        <is>
          <t>MJÖLBY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46305</v>
      </c>
      <c r="F219" t="inlineStr">
        <is>
          <t>ÖSTERGÖTLANDS LÄN</t>
        </is>
      </c>
      <c r="G219" t="inlineStr">
        <is>
          <t>MJÖLBY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46305</v>
      </c>
      <c r="F220" t="inlineStr">
        <is>
          <t>ÖSTERGÖTLANDS LÄN</t>
        </is>
      </c>
      <c r="G220" t="inlineStr">
        <is>
          <t>MJÖLBY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46305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46305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46305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46305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46305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46305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Sveaskog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46305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Sveaskog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46305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34794-2026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46258</v>
      </c>
      <c r="E229" s="1" t="n">
        <v>46305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46258</v>
      </c>
      <c r="E230" s="1" t="n">
        <v>46305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46305</v>
      </c>
      <c r="F231" t="inlineStr">
        <is>
          <t>ÖSTERGÖTLANDS LÄN</t>
        </is>
      </c>
      <c r="G231" t="inlineStr">
        <is>
          <t>MJÖLBY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46302</v>
      </c>
      <c r="E232" s="1" t="n">
        <v>46305</v>
      </c>
      <c r="F232" t="inlineStr">
        <is>
          <t>ÖSTERGÖTLANDS LÄN</t>
        </is>
      </c>
      <c r="G232" t="inlineStr">
        <is>
          <t>MJÖLBY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46305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2026-10-10T02:03:11Z</dcterms:created>
  <dcterms:modified xmlns:dcterms="http://purl.org/dc/terms/" xmlns:xsi="http://www.w3.org/2001/XMLSchema-instance" xsi:type="dcterms:W3CDTF">2026-10-10T02:03:11Z</dcterms:modified>
</cp:coreProperties>
</file>