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46224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46224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46224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A 31169-2026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46216</v>
      </c>
      <c r="E5" s="1" t="n">
        <v>46224</v>
      </c>
      <c r="F5" t="inlineStr">
        <is>
          <t>ÖSTERGÖTLANDS LÄN</t>
        </is>
      </c>
      <c r="G5" t="inlineStr">
        <is>
          <t>MJÖLBY</t>
        </is>
      </c>
      <c r="I5" t="n">
        <v>19.2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Sommarfibbla
Sårläka
Tibast</t>
        </is>
      </c>
      <c r="W5">
        <f>HYPERLINK("https://klasma.github.io/Logging_0586/artfynd/A 31169-2026 artfynd.xlsx", "A 31169-2026")</f>
        <v/>
      </c>
      <c r="X5">
        <f>HYPERLINK("https://klasma.github.io/Logging_0586/kartor/A 31169-2026 karta.png", "A 31169-2026")</f>
        <v/>
      </c>
      <c r="Y5">
        <f>HYPERLINK("https://klasma.github.io/Logging_0586/kartor_geotiff/A 31169-2026 georefererad karta.tif", "A 31169-2026")</f>
        <v/>
      </c>
      <c r="AA5">
        <f>HYPERLINK("https://klasma.github.io/Logging_0586/klagomål/A 31169-2026 FSC-klagomål.docx", "A 31169-2026")</f>
        <v/>
      </c>
      <c r="AB5">
        <f>HYPERLINK("https://klasma.github.io/Logging_0586/klagomålsmail/A 31169-2026 FSC-klagomål mail.docx", "A 31169-2026")</f>
        <v/>
      </c>
      <c r="AC5">
        <f>HYPERLINK("https://klasma.github.io/Logging_0586/tillsyn/A 31169-2026 tillsynsbegäran.docx", "A 31169-2026")</f>
        <v/>
      </c>
      <c r="AD5">
        <f>HYPERLINK("https://klasma.github.io/Logging_0586/tillsynsmail/A 31169-2026 tillsynsbegäran mail.docx", "A 31169-2026")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46224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46224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46224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62852-2025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46008</v>
      </c>
      <c r="E9" s="1" t="n">
        <v>46224</v>
      </c>
      <c r="F9" t="inlineStr">
        <is>
          <t>ÖSTERGÖTLANDS LÄN</t>
        </is>
      </c>
      <c r="G9" t="inlineStr">
        <is>
          <t>MJÖLBY</t>
        </is>
      </c>
      <c r="H9" t="inlineStr">
        <is>
          <t>Kyrkan</t>
        </is>
      </c>
      <c r="I9" t="n">
        <v>3.1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HYPERLINK("https://klasma.github.io/Logging_0586/artfynd/A 62852-2025 artfynd.xlsx", "A 62852-2025")</f>
        <v/>
      </c>
      <c r="X9">
        <f>HYPERLINK("https://klasma.github.io/Logging_0586/kartor/A 62852-2025 karta.png", "A 62852-2025")</f>
        <v/>
      </c>
      <c r="Y9">
        <f>HYPERLINK("https://klasma.github.io/Logging_0586/kartor_geotiff/A 62852-2025 georefererad karta.tif", "A 62852-2025")</f>
        <v/>
      </c>
      <c r="AA9">
        <f>HYPERLINK("https://klasma.github.io/Logging_0586/klagomål/A 62852-2025 FSC-klagomål.docx", "A 62852-2025")</f>
        <v/>
      </c>
      <c r="AB9">
        <f>HYPERLINK("https://klasma.github.io/Logging_0586/klagomålsmail/A 62852-2025 FSC-klagomål mail.docx", "A 62852-2025")</f>
        <v/>
      </c>
      <c r="AC9">
        <f>HYPERLINK("https://klasma.github.io/Logging_0586/tillsyn/A 62852-2025 tillsynsbegäran.docx", "A 62852-2025")</f>
        <v/>
      </c>
      <c r="AD9">
        <f>HYPERLINK("https://klasma.github.io/Logging_0586/tillsynsmail/A 62852-2025 tillsynsbegäran mail.docx", "A 62852-2025")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46224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54444-2021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46224</v>
      </c>
      <c r="F11" t="inlineStr">
        <is>
          <t>ÖSTERGÖTLANDS LÄN</t>
        </is>
      </c>
      <c r="G11" t="inlineStr">
        <is>
          <t>MJÖLBY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Ängshök</t>
        </is>
      </c>
      <c r="W11">
        <f>HYPERLINK("https://klasma.github.io/Logging_0586/artfynd/A 54444-2021 artfynd.xlsx", "A 54444-2021")</f>
        <v/>
      </c>
      <c r="X11">
        <f>HYPERLINK("https://klasma.github.io/Logging_0586/kartor/A 54444-2021 karta.png", "A 54444-2021")</f>
        <v/>
      </c>
      <c r="Y11">
        <f>HYPERLINK("https://klasma.github.io/Logging_0586/kartor_geotiff/A 54444-2021 georefererad karta.tif", "A 54444-2021")</f>
        <v/>
      </c>
      <c r="AA11">
        <f>HYPERLINK("https://klasma.github.io/Logging_0586/klagomål/A 54444-2021 FSC-klagomål.docx", "A 54444-2021")</f>
        <v/>
      </c>
      <c r="AB11">
        <f>HYPERLINK("https://klasma.github.io/Logging_0586/klagomålsmail/A 54444-2021 FSC-klagomål mail.docx", "A 54444-2021")</f>
        <v/>
      </c>
      <c r="AC11">
        <f>HYPERLINK("https://klasma.github.io/Logging_0586/tillsyn/A 54444-2021 tillsynsbegäran.docx", "A 54444-2021")</f>
        <v/>
      </c>
      <c r="AD11">
        <f>HYPERLINK("https://klasma.github.io/Logging_0586/tillsynsmail/A 54444-2021 tillsynsbegäran mail.docx", "A 54444-2021")</f>
        <v/>
      </c>
    </row>
    <row r="12" ht="15" customHeight="1">
      <c r="A12" t="inlineStr">
        <is>
          <t>A 46156-2025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46224</v>
      </c>
      <c r="F12" t="inlineStr">
        <is>
          <t>ÖSTERGÖTLANDS LÄN</t>
        </is>
      </c>
      <c r="G12" t="inlineStr">
        <is>
          <t>MJÖLBY</t>
        </is>
      </c>
      <c r="I12" t="n">
        <v>3.7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Tvåblad</t>
        </is>
      </c>
      <c r="W12">
        <f>HYPERLINK("https://klasma.github.io/Logging_0586/artfynd/A 46156-2025 artfynd.xlsx", "A 46156-2025")</f>
        <v/>
      </c>
      <c r="X12">
        <f>HYPERLINK("https://klasma.github.io/Logging_0586/kartor/A 46156-2025 karta.png", "A 46156-2025")</f>
        <v/>
      </c>
      <c r="Y12">
        <f>HYPERLINK("https://klasma.github.io/Logging_0586/kartor_geotiff/A 46156-2025 georefererad karta.tif", "A 46156-2025")</f>
        <v/>
      </c>
      <c r="AA12">
        <f>HYPERLINK("https://klasma.github.io/Logging_0586/klagomål/A 46156-2025 FSC-klagomål.docx", "A 46156-2025")</f>
        <v/>
      </c>
      <c r="AB12">
        <f>HYPERLINK("https://klasma.github.io/Logging_0586/klagomålsmail/A 46156-2025 FSC-klagomål mail.docx", "A 46156-2025")</f>
        <v/>
      </c>
      <c r="AC12">
        <f>HYPERLINK("https://klasma.github.io/Logging_0586/tillsyn/A 46156-2025 tillsynsbegäran.docx", "A 46156-2025")</f>
        <v/>
      </c>
      <c r="AD12">
        <f>HYPERLINK("https://klasma.github.io/Logging_0586/tillsynsmail/A 46156-2025 tillsynsbegäran mail.docx", "A 46156-2025")</f>
        <v/>
      </c>
    </row>
    <row r="13" ht="15" customHeight="1">
      <c r="A13" t="inlineStr">
        <is>
          <t>A 46123-2025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46224</v>
      </c>
      <c r="F13" t="inlineStr">
        <is>
          <t>ÖSTERGÖTLANDS LÄN</t>
        </is>
      </c>
      <c r="G13" t="inlineStr">
        <is>
          <t>MJÖLBY</t>
        </is>
      </c>
      <c r="I13" t="n">
        <v>5.6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HYPERLINK("https://klasma.github.io/Logging_0586/artfynd/A 46123-2025 artfynd.xlsx", "A 46123-2025")</f>
        <v/>
      </c>
      <c r="X13">
        <f>HYPERLINK("https://klasma.github.io/Logging_0586/kartor/A 46123-2025 karta.png", "A 46123-2025")</f>
        <v/>
      </c>
      <c r="Y13">
        <f>HYPERLINK("https://klasma.github.io/Logging_0586/kartor_geotiff/A 46123-2025 georefererad karta.tif", "A 46123-2025")</f>
        <v/>
      </c>
      <c r="Z13">
        <f>HYPERLINK("https://klasma.github.io/Logging_0586/knärot/A 46123-2025 karta knärot.png", "A 46123-2025")</f>
        <v/>
      </c>
      <c r="AA13">
        <f>HYPERLINK("https://klasma.github.io/Logging_0586/klagomål/A 46123-2025 FSC-klagomål.docx", "A 46123-2025")</f>
        <v/>
      </c>
      <c r="AB13">
        <f>HYPERLINK("https://klasma.github.io/Logging_0586/klagomålsmail/A 46123-2025 FSC-klagomål mail.docx", "A 46123-2025")</f>
        <v/>
      </c>
      <c r="AC13">
        <f>HYPERLINK("https://klasma.github.io/Logging_0586/tillsyn/A 46123-2025 tillsynsbegäran.docx", "A 46123-2025")</f>
        <v/>
      </c>
      <c r="AD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46224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22327-2024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45446</v>
      </c>
      <c r="E15" s="1" t="n">
        <v>46224</v>
      </c>
      <c r="F15" t="inlineStr">
        <is>
          <t>ÖSTERGÖTLANDS LÄN</t>
        </is>
      </c>
      <c r="G15" t="inlineStr">
        <is>
          <t>MJÖLBY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HYPERLINK("https://klasma.github.io/Logging_0586/artfynd/A 22327-2024 artfynd.xlsx", "A 22327-2024")</f>
        <v/>
      </c>
      <c r="X15">
        <f>HYPERLINK("https://klasma.github.io/Logging_0586/kartor/A 22327-2024 karta.png", "A 22327-2024")</f>
        <v/>
      </c>
      <c r="Y15">
        <f>HYPERLINK("https://klasma.github.io/Logging_0586/kartor_geotiff/A 22327-2024 georefererad karta.tif", "A 22327-2024")</f>
        <v/>
      </c>
      <c r="AA15">
        <f>HYPERLINK("https://klasma.github.io/Logging_0586/klagomål/A 22327-2024 FSC-klagomål.docx", "A 22327-2024")</f>
        <v/>
      </c>
      <c r="AB15">
        <f>HYPERLINK("https://klasma.github.io/Logging_0586/klagomålsmail/A 22327-2024 FSC-klagomål mail.docx", "A 22327-2024")</f>
        <v/>
      </c>
      <c r="AC15">
        <f>HYPERLINK("https://klasma.github.io/Logging_0586/tillsyn/A 22327-2024 tillsynsbegäran.docx", "A 22327-2024")</f>
        <v/>
      </c>
      <c r="AD15">
        <f>HYPERLINK("https://klasma.github.io/Logging_0586/tillsynsmail/A 22327-2024 tillsynsbegäran mail.docx", "A 22327-2024")</f>
        <v/>
      </c>
    </row>
    <row r="16" ht="15" customHeight="1">
      <c r="A16" t="inlineStr">
        <is>
          <t>A 60983-2023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45261</v>
      </c>
      <c r="E16" s="1" t="n">
        <v>46224</v>
      </c>
      <c r="F16" t="inlineStr">
        <is>
          <t>ÖSTERGÖTLANDS LÄN</t>
        </is>
      </c>
      <c r="G16" t="inlineStr">
        <is>
          <t>MJÖLBY</t>
        </is>
      </c>
      <c r="I16" t="n">
        <v>3.8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HYPERLINK("https://klasma.github.io/Logging_0586/artfynd/A 60983-2023 artfynd.xlsx", "A 60983-2023")</f>
        <v/>
      </c>
      <c r="X16">
        <f>HYPERLINK("https://klasma.github.io/Logging_0586/kartor/A 60983-2023 karta.png", "A 60983-2023")</f>
        <v/>
      </c>
      <c r="Y16">
        <f>HYPERLINK("https://klasma.github.io/Logging_0586/kartor_geotiff/A 60983-2023 georefererad karta.tif", "A 60983-2023")</f>
        <v/>
      </c>
      <c r="AA16">
        <f>HYPERLINK("https://klasma.github.io/Logging_0586/klagomål/A 60983-2023 FSC-klagomål.docx", "A 60983-2023")</f>
        <v/>
      </c>
      <c r="AB16">
        <f>HYPERLINK("https://klasma.github.io/Logging_0586/klagomålsmail/A 60983-2023 FSC-klagomål mail.docx", "A 60983-2023")</f>
        <v/>
      </c>
      <c r="AC16">
        <f>HYPERLINK("https://klasma.github.io/Logging_0586/tillsyn/A 60983-2023 tillsynsbegäran.docx", "A 60983-2023")</f>
        <v/>
      </c>
      <c r="AD16">
        <f>HYPERLINK("https://klasma.github.io/Logging_0586/tillsynsmail/A 60983-2023 tillsynsbegäran mail.docx", "A 60983-2023")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46224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46224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45164-2023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46224</v>
      </c>
      <c r="F19" t="inlineStr">
        <is>
          <t>ÖSTERGÖTLANDS LÄN</t>
        </is>
      </c>
      <c r="G19" t="inlineStr">
        <is>
          <t>MJÖLBY</t>
        </is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Skogsduva</t>
        </is>
      </c>
      <c r="W19">
        <f>HYPERLINK("https://klasma.github.io/Logging_0586/artfynd/A 45164-2023 artfynd.xlsx", "A 45164-2023")</f>
        <v/>
      </c>
      <c r="X19">
        <f>HYPERLINK("https://klasma.github.io/Logging_0586/kartor/A 45164-2023 karta.png", "A 45164-2023")</f>
        <v/>
      </c>
      <c r="Y19">
        <f>HYPERLINK("https://klasma.github.io/Logging_0586/kartor_geotiff/A 45164-2023 georefererad karta.tif", "A 45164-2023")</f>
        <v/>
      </c>
      <c r="AA19">
        <f>HYPERLINK("https://klasma.github.io/Logging_0586/klagomål/A 45164-2023 FSC-klagomål.docx", "A 45164-2023")</f>
        <v/>
      </c>
      <c r="AB19">
        <f>HYPERLINK("https://klasma.github.io/Logging_0586/klagomålsmail/A 45164-2023 FSC-klagomål mail.docx", "A 45164-2023")</f>
        <v/>
      </c>
      <c r="AC19">
        <f>HYPERLINK("https://klasma.github.io/Logging_0586/tillsyn/A 45164-2023 tillsynsbegäran.docx", "A 45164-2023")</f>
        <v/>
      </c>
      <c r="AD19">
        <f>HYPERLINK("https://klasma.github.io/Logging_0586/tillsynsmail/A 45164-2023 tillsynsbegäran mail.docx", "A 45164-2023")</f>
        <v/>
      </c>
    </row>
    <row r="20" ht="15" customHeight="1">
      <c r="A20" t="inlineStr">
        <is>
          <t>A 51642-2021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44462</v>
      </c>
      <c r="E20" s="1" t="n">
        <v>46224</v>
      </c>
      <c r="F20" t="inlineStr">
        <is>
          <t>ÖSTERGÖTLANDS LÄN</t>
        </is>
      </c>
      <c r="G20" t="inlineStr">
        <is>
          <t>MJÖLBY</t>
        </is>
      </c>
      <c r="I20" t="n">
        <v>2.9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Vårstarr</t>
        </is>
      </c>
      <c r="W20">
        <f>HYPERLINK("https://klasma.github.io/Logging_0586/artfynd/A 51642-2021 artfynd.xlsx", "A 51642-2021")</f>
        <v/>
      </c>
      <c r="X20">
        <f>HYPERLINK("https://klasma.github.io/Logging_0586/kartor/A 51642-2021 karta.png", "A 51642-2021")</f>
        <v/>
      </c>
      <c r="Y20">
        <f>HYPERLINK("https://klasma.github.io/Logging_0586/kartor_geotiff/A 51642-2021 georefererad karta.tif", "A 51642-2021")</f>
        <v/>
      </c>
      <c r="AA20">
        <f>HYPERLINK("https://klasma.github.io/Logging_0586/klagomål/A 51642-2021 FSC-klagomål.docx", "A 51642-2021")</f>
        <v/>
      </c>
      <c r="AB20">
        <f>HYPERLINK("https://klasma.github.io/Logging_0586/klagomålsmail/A 51642-2021 FSC-klagomål mail.docx", "A 51642-2021")</f>
        <v/>
      </c>
      <c r="AC20">
        <f>HYPERLINK("https://klasma.github.io/Logging_0586/tillsyn/A 51642-2021 tillsynsbegäran.docx", "A 51642-2021")</f>
        <v/>
      </c>
      <c r="AD20">
        <f>HYPERLINK("https://klasma.github.io/Logging_0586/tillsynsmail/A 51642-2021 tillsynsbegäran mail.docx", "A 51642-2021")</f>
        <v/>
      </c>
    </row>
    <row r="21" ht="15" customHeight="1">
      <c r="A21" t="inlineStr">
        <is>
          <t>A 51642-2021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46224</v>
      </c>
      <c r="F21" t="inlineStr">
        <is>
          <t>ÖSTERGÖTLANDS LÄN</t>
        </is>
      </c>
      <c r="G21" t="inlineStr">
        <is>
          <t>MJÖLBY</t>
        </is>
      </c>
      <c r="I21" t="n">
        <v>2.9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Vårstarr</t>
        </is>
      </c>
      <c r="W21">
        <f>HYPERLINK("https://klasma.github.io/Logging_0586/artfynd/A 51642-2021 artfynd.xlsx", "A 51642-2021")</f>
        <v/>
      </c>
      <c r="X21">
        <f>HYPERLINK("https://klasma.github.io/Logging_0586/kartor/A 51642-2021 karta.png", "A 51642-2021")</f>
        <v/>
      </c>
      <c r="Y21">
        <f>HYPERLINK("https://klasma.github.io/Logging_0586/kartor_geotiff/A 51642-2021 georefererad karta.tif", "A 51642-2021")</f>
        <v/>
      </c>
      <c r="AA21">
        <f>HYPERLINK("https://klasma.github.io/Logging_0586/klagomål/A 51642-2021 FSC-klagomål.docx", "A 51642-2021")</f>
        <v/>
      </c>
      <c r="AB21">
        <f>HYPERLINK("https://klasma.github.io/Logging_0586/klagomålsmail/A 51642-2021 FSC-klagomål mail.docx", "A 51642-2021")</f>
        <v/>
      </c>
      <c r="AC21">
        <f>HYPERLINK("https://klasma.github.io/Logging_0586/tillsyn/A 51642-2021 tillsynsbegäran.docx", "A 51642-2021")</f>
        <v/>
      </c>
      <c r="AD21">
        <f>HYPERLINK("https://klasma.github.io/Logging_0586/tillsynsmail/A 51642-2021 tillsynsbegäran mail.docx", "A 51642-2021")</f>
        <v/>
      </c>
    </row>
    <row r="22" ht="15" customHeight="1">
      <c r="A22" t="inlineStr">
        <is>
          <t>A 44468-2021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44435</v>
      </c>
      <c r="E22" s="1" t="n">
        <v>46224</v>
      </c>
      <c r="F22" t="inlineStr">
        <is>
          <t>ÖSTERGÖTLANDS LÄN</t>
        </is>
      </c>
      <c r="G22" t="inlineStr">
        <is>
          <t>MJÖLBY</t>
        </is>
      </c>
      <c r="H22" t="inlineStr">
        <is>
          <t>Kommuner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HYPERLINK("https://klasma.github.io/Logging_0586/artfynd/A 44468-2021 artfynd.xlsx", "A 44468-2021")</f>
        <v/>
      </c>
      <c r="X22">
        <f>HYPERLINK("https://klasma.github.io/Logging_0586/kartor/A 44468-2021 karta.png", "A 44468-2021")</f>
        <v/>
      </c>
      <c r="Y22">
        <f>HYPERLINK("https://klasma.github.io/Logging_0586/kartor_geotiff/A 44468-2021 georefererad karta.tif", "A 44468-2021")</f>
        <v/>
      </c>
      <c r="AA22">
        <f>HYPERLINK("https://klasma.github.io/Logging_0586/klagomål/A 44468-2021 FSC-klagomål.docx", "A 44468-2021")</f>
        <v/>
      </c>
      <c r="AB22">
        <f>HYPERLINK("https://klasma.github.io/Logging_0586/klagomålsmail/A 44468-2021 FSC-klagomål mail.docx", "A 44468-2021")</f>
        <v/>
      </c>
      <c r="AC22">
        <f>HYPERLINK("https://klasma.github.io/Logging_0586/tillsyn/A 44468-2021 tillsynsbegäran.docx", "A 44468-2021")</f>
        <v/>
      </c>
      <c r="AD22">
        <f>HYPERLINK("https://klasma.github.io/Logging_0586/tillsynsmail/A 44468-2021 tillsynsbegäran mail.docx", "A 44468-2021")</f>
        <v/>
      </c>
    </row>
    <row r="23" ht="15" customHeight="1">
      <c r="A23" t="inlineStr">
        <is>
          <t>A 50403-2022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44866</v>
      </c>
      <c r="E23" s="1" t="n">
        <v>46224</v>
      </c>
      <c r="F23" t="inlineStr">
        <is>
          <t>ÖSTERGÖTLANDS LÄN</t>
        </is>
      </c>
      <c r="G23" t="inlineStr">
        <is>
          <t>MJÖLBY</t>
        </is>
      </c>
      <c r="H23" t="inlineStr">
        <is>
          <t>Sveaskog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Springkorn</t>
        </is>
      </c>
      <c r="W23">
        <f>HYPERLINK("https://klasma.github.io/Logging_0586/artfynd/A 50403-2022 artfynd.xlsx", "A 50403-2022")</f>
        <v/>
      </c>
      <c r="X23">
        <f>HYPERLINK("https://klasma.github.io/Logging_0586/kartor/A 50403-2022 karta.png", "A 50403-2022")</f>
        <v/>
      </c>
      <c r="Y23">
        <f>HYPERLINK("https://klasma.github.io/Logging_0586/kartor_geotiff/A 50403-2022 georefererad karta.tif", "A 50403-2022")</f>
        <v/>
      </c>
      <c r="AA23">
        <f>HYPERLINK("https://klasma.github.io/Logging_0586/klagomål/A 50403-2022 FSC-klagomål.docx", "A 50403-2022")</f>
        <v/>
      </c>
      <c r="AB23">
        <f>HYPERLINK("https://klasma.github.io/Logging_0586/klagomålsmail/A 50403-2022 FSC-klagomål mail.docx", "A 50403-2022")</f>
        <v/>
      </c>
      <c r="AC23">
        <f>HYPERLINK("https://klasma.github.io/Logging_0586/tillsyn/A 50403-2022 tillsynsbegäran.docx", "A 50403-2022")</f>
        <v/>
      </c>
      <c r="AD23">
        <f>HYPERLINK("https://klasma.github.io/Logging_0586/tillsynsmail/A 50403-2022 tillsynsbegäran mail.docx", "A 50403-2022")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46224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46224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46224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46224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46224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46224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46224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46224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46224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46224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46224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46224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44951</v>
      </c>
      <c r="E36" s="1" t="n">
        <v>46224</v>
      </c>
      <c r="F36" t="inlineStr">
        <is>
          <t>ÖSTERGÖTLANDS LÄN</t>
        </is>
      </c>
      <c r="G36" t="inlineStr">
        <is>
          <t>MJÖLBY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45009</v>
      </c>
      <c r="E37" s="1" t="n">
        <v>46224</v>
      </c>
      <c r="F37" t="inlineStr">
        <is>
          <t>ÖSTERGÖTLANDS LÄN</t>
        </is>
      </c>
      <c r="G37" t="inlineStr">
        <is>
          <t>MJÖLBY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46224</v>
      </c>
      <c r="F38" t="inlineStr">
        <is>
          <t>ÖSTERGÖTLANDS LÄN</t>
        </is>
      </c>
      <c r="G38" t="inlineStr">
        <is>
          <t>MJÖLBY</t>
        </is>
      </c>
      <c r="H38" t="inlineStr">
        <is>
          <t>Allmännings- och besparingsskogar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50886-2024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46224</v>
      </c>
      <c r="F39" t="inlineStr">
        <is>
          <t>ÖSTERGÖTLANDS LÄN</t>
        </is>
      </c>
      <c r="G39" t="inlineStr">
        <is>
          <t>MJÖLBY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60917-2022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44908</v>
      </c>
      <c r="E40" s="1" t="n">
        <v>46224</v>
      </c>
      <c r="F40" t="inlineStr">
        <is>
          <t>ÖSTERGÖTLANDS LÄN</t>
        </is>
      </c>
      <c r="G40" t="inlineStr">
        <is>
          <t>MJÖLBY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49971-2023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45215</v>
      </c>
      <c r="E41" s="1" t="n">
        <v>46224</v>
      </c>
      <c r="F41" t="inlineStr">
        <is>
          <t>ÖSTERGÖTLANDS LÄN</t>
        </is>
      </c>
      <c r="G41" t="inlineStr">
        <is>
          <t>MJÖLBY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45736</v>
      </c>
      <c r="E42" s="1" t="n">
        <v>46224</v>
      </c>
      <c r="F42" t="inlineStr">
        <is>
          <t>ÖSTERGÖTLANDS LÄN</t>
        </is>
      </c>
      <c r="G42" t="inlineStr">
        <is>
          <t>MJÖLBY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16304-2024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45407</v>
      </c>
      <c r="E43" s="1" t="n">
        <v>46224</v>
      </c>
      <c r="F43" t="inlineStr">
        <is>
          <t>ÖSTERGÖTLANDS LÄN</t>
        </is>
      </c>
      <c r="G43" t="inlineStr">
        <is>
          <t>MJÖLBY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38278-2024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45545</v>
      </c>
      <c r="E44" s="1" t="n">
        <v>46224</v>
      </c>
      <c r="F44" t="inlineStr">
        <is>
          <t>ÖSTERGÖTLANDS LÄN</t>
        </is>
      </c>
      <c r="G44" t="inlineStr">
        <is>
          <t>MJÖLBY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45161</v>
      </c>
      <c r="E45" s="1" t="n">
        <v>46224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43012-2024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45567</v>
      </c>
      <c r="E46" s="1" t="n">
        <v>46224</v>
      </c>
      <c r="F46" t="inlineStr">
        <is>
          <t>ÖSTERGÖTLANDS LÄN</t>
        </is>
      </c>
      <c r="G46" t="inlineStr">
        <is>
          <t>MJÖLBY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72563-2021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46224</v>
      </c>
      <c r="F47" t="inlineStr">
        <is>
          <t>ÖSTERGÖTLANDS LÄN</t>
        </is>
      </c>
      <c r="G47" t="inlineStr">
        <is>
          <t>MJÖLBY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23114-2025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46224</v>
      </c>
      <c r="F48" t="inlineStr">
        <is>
          <t>ÖSTERGÖTLANDS LÄN</t>
        </is>
      </c>
      <c r="G48" t="inlineStr">
        <is>
          <t>MJÖLBY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62129-2025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46006</v>
      </c>
      <c r="E49" s="1" t="n">
        <v>46224</v>
      </c>
      <c r="F49" t="inlineStr">
        <is>
          <t>ÖSTERGÖTLANDS LÄN</t>
        </is>
      </c>
      <c r="G49" t="inlineStr">
        <is>
          <t>MJÖLBY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57284-2024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46224</v>
      </c>
      <c r="F50" t="inlineStr">
        <is>
          <t>ÖSTERGÖTLANDS LÄN</t>
        </is>
      </c>
      <c r="G50" t="inlineStr">
        <is>
          <t>MJÖLBY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45314</v>
      </c>
      <c r="E51" s="1" t="n">
        <v>46224</v>
      </c>
      <c r="F51" t="inlineStr">
        <is>
          <t>ÖSTERGÖTLANDS LÄN</t>
        </is>
      </c>
      <c r="G51" t="inlineStr">
        <is>
          <t>MJÖLBY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46006</v>
      </c>
      <c r="E52" s="1" t="n">
        <v>46224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62391-2025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46007</v>
      </c>
      <c r="E53" s="1" t="n">
        <v>46224</v>
      </c>
      <c r="F53" t="inlineStr">
        <is>
          <t>ÖSTERGÖTLANDS LÄN</t>
        </is>
      </c>
      <c r="G53" t="inlineStr">
        <is>
          <t>MJÖLBY</t>
        </is>
      </c>
      <c r="H53" t="inlineStr">
        <is>
          <t>Kyrkan</t>
        </is>
      </c>
      <c r="I53" t="n">
        <v>8.300000000000001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22328-2024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46224</v>
      </c>
      <c r="F54" t="inlineStr">
        <is>
          <t>ÖSTERGÖTLANDS LÄN</t>
        </is>
      </c>
      <c r="G54" t="inlineStr">
        <is>
          <t>MJÖLBY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46224</v>
      </c>
      <c r="F55" t="inlineStr">
        <is>
          <t>ÖSTERGÖTLANDS LÄN</t>
        </is>
      </c>
      <c r="G55" t="inlineStr">
        <is>
          <t>MJÖLBY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64930-2023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45282</v>
      </c>
      <c r="E56" s="1" t="n">
        <v>46224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46013</v>
      </c>
      <c r="E57" s="1" t="n">
        <v>46224</v>
      </c>
      <c r="F57" t="inlineStr">
        <is>
          <t>ÖSTERGÖTLANDS LÄN</t>
        </is>
      </c>
      <c r="G57" t="inlineStr">
        <is>
          <t>MJÖLBY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45763</v>
      </c>
      <c r="E58" s="1" t="n">
        <v>46224</v>
      </c>
      <c r="F58" t="inlineStr">
        <is>
          <t>ÖSTERGÖTLANDS LÄN</t>
        </is>
      </c>
      <c r="G58" t="inlineStr">
        <is>
          <t>MJÖLBY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46224</v>
      </c>
      <c r="F59" t="inlineStr">
        <is>
          <t>ÖSTERGÖTLANDS LÄN</t>
        </is>
      </c>
      <c r="G59" t="inlineStr">
        <is>
          <t>MJÖLBY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46224</v>
      </c>
      <c r="F60" t="inlineStr">
        <is>
          <t>ÖSTERGÖTLANDS LÄN</t>
        </is>
      </c>
      <c r="G60" t="inlineStr">
        <is>
          <t>MJÖLBY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46224</v>
      </c>
      <c r="F61" t="inlineStr">
        <is>
          <t>ÖSTERGÖTLANDS LÄN</t>
        </is>
      </c>
      <c r="G61" t="inlineStr">
        <is>
          <t>MJÖLBY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27232-2025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45812</v>
      </c>
      <c r="E62" s="1" t="n">
        <v>46224</v>
      </c>
      <c r="F62" t="inlineStr">
        <is>
          <t>ÖSTERGÖTLANDS LÄN</t>
        </is>
      </c>
      <c r="G62" t="inlineStr">
        <is>
          <t>MJÖLBY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40667-2023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45170</v>
      </c>
      <c r="E63" s="1" t="n">
        <v>46224</v>
      </c>
      <c r="F63" t="inlineStr">
        <is>
          <t>ÖSTERGÖTLANDS LÄN</t>
        </is>
      </c>
      <c r="G63" t="inlineStr">
        <is>
          <t>MJÖLBY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28663-2025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45819</v>
      </c>
      <c r="E64" s="1" t="n">
        <v>46224</v>
      </c>
      <c r="F64" t="inlineStr">
        <is>
          <t>ÖSTERGÖTLANDS LÄN</t>
        </is>
      </c>
      <c r="G64" t="inlineStr">
        <is>
          <t>MJÖLBY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46224</v>
      </c>
      <c r="F65" t="inlineStr">
        <is>
          <t>ÖSTERGÖTLANDS LÄN</t>
        </is>
      </c>
      <c r="G65" t="inlineStr">
        <is>
          <t>MJÖLBY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46224</v>
      </c>
      <c r="F66" t="inlineStr">
        <is>
          <t>ÖSTERGÖTLANDS LÄN</t>
        </is>
      </c>
      <c r="G66" t="inlineStr">
        <is>
          <t>MJÖLBY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44753-2025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46224</v>
      </c>
      <c r="F67" t="inlineStr">
        <is>
          <t>ÖSTERGÖTLANDS LÄN</t>
        </is>
      </c>
      <c r="G67" t="inlineStr">
        <is>
          <t>MJÖLBY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46224</v>
      </c>
      <c r="F68" t="inlineStr">
        <is>
          <t>ÖSTERGÖTLANDS LÄN</t>
        </is>
      </c>
      <c r="G68" t="inlineStr">
        <is>
          <t>MJÖLBY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44980</v>
      </c>
      <c r="E69" s="1" t="n">
        <v>46224</v>
      </c>
      <c r="F69" t="inlineStr">
        <is>
          <t>ÖSTERGÖTLANDS LÄN</t>
        </is>
      </c>
      <c r="G69" t="inlineStr">
        <is>
          <t>MJÖLBY</t>
        </is>
      </c>
      <c r="H69" t="inlineStr">
        <is>
          <t>Kyrkan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46224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46224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53518-2022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46224</v>
      </c>
      <c r="F72" t="inlineStr">
        <is>
          <t>ÖSTERGÖTLANDS LÄN</t>
        </is>
      </c>
      <c r="G72" t="inlineStr">
        <is>
          <t>MJÖLBY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45924</v>
      </c>
      <c r="E73" s="1" t="n">
        <v>46224</v>
      </c>
      <c r="F73" t="inlineStr">
        <is>
          <t>ÖSTERGÖTLANDS LÄN</t>
        </is>
      </c>
      <c r="G73" t="inlineStr">
        <is>
          <t>MJÖLBY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46224</v>
      </c>
      <c r="F74" t="inlineStr">
        <is>
          <t>ÖSTERGÖTLANDS LÄN</t>
        </is>
      </c>
      <c r="G74" t="inlineStr">
        <is>
          <t>MJÖLBY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44663</v>
      </c>
      <c r="E75" s="1" t="n">
        <v>46224</v>
      </c>
      <c r="F75" t="inlineStr">
        <is>
          <t>ÖSTERGÖTLANDS LÄN</t>
        </is>
      </c>
      <c r="G75" t="inlineStr">
        <is>
          <t>MJÖLBY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30468-2025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45827</v>
      </c>
      <c r="E76" s="1" t="n">
        <v>46224</v>
      </c>
      <c r="F76" t="inlineStr">
        <is>
          <t>ÖSTERGÖTLANDS LÄN</t>
        </is>
      </c>
      <c r="G76" t="inlineStr">
        <is>
          <t>MJÖLBY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46224</v>
      </c>
      <c r="F77" t="inlineStr">
        <is>
          <t>ÖSTERGÖTLANDS LÄN</t>
        </is>
      </c>
      <c r="G77" t="inlineStr">
        <is>
          <t>MJÖLBY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46224</v>
      </c>
      <c r="F78" t="inlineStr">
        <is>
          <t>ÖSTERGÖTLANDS LÄN</t>
        </is>
      </c>
      <c r="G78" t="inlineStr">
        <is>
          <t>MJÖLBY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45221</v>
      </c>
      <c r="E79" s="1" t="n">
        <v>46224</v>
      </c>
      <c r="F79" t="inlineStr">
        <is>
          <t>ÖSTERGÖTLANDS LÄN</t>
        </is>
      </c>
      <c r="G79" t="inlineStr">
        <is>
          <t>MJÖLBY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31624-2025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46224</v>
      </c>
      <c r="F80" t="inlineStr">
        <is>
          <t>ÖSTERGÖTLANDS LÄN</t>
        </is>
      </c>
      <c r="G80" t="inlineStr">
        <is>
          <t>MJÖLBY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31623-2025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46224</v>
      </c>
      <c r="F81" t="inlineStr">
        <is>
          <t>ÖSTERGÖTLANDS LÄN</t>
        </is>
      </c>
      <c r="G81" t="inlineStr">
        <is>
          <t>MJÖLBY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44971</v>
      </c>
      <c r="E82" s="1" t="n">
        <v>46224</v>
      </c>
      <c r="F82" t="inlineStr">
        <is>
          <t>ÖSTERGÖTLANDS LÄN</t>
        </is>
      </c>
      <c r="G82" t="inlineStr">
        <is>
          <t>MJÖLBY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50339-2023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45216</v>
      </c>
      <c r="E83" s="1" t="n">
        <v>46224</v>
      </c>
      <c r="F83" t="inlineStr">
        <is>
          <t>ÖSTERGÖTLANDS LÄN</t>
        </is>
      </c>
      <c r="G83" t="inlineStr">
        <is>
          <t>MJÖLBY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37806-2022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44810</v>
      </c>
      <c r="E84" s="1" t="n">
        <v>46224</v>
      </c>
      <c r="F84" t="inlineStr">
        <is>
          <t>ÖSTERGÖTLANDS LÄN</t>
        </is>
      </c>
      <c r="G84" t="inlineStr">
        <is>
          <t>MJÖLBY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46224</v>
      </c>
      <c r="F85" t="inlineStr">
        <is>
          <t>ÖSTERGÖTLANDS LÄN</t>
        </is>
      </c>
      <c r="G85" t="inlineStr">
        <is>
          <t>MJÖLBY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45250</v>
      </c>
      <c r="E86" s="1" t="n">
        <v>46224</v>
      </c>
      <c r="F86" t="inlineStr">
        <is>
          <t>ÖSTERGÖTLANDS LÄN</t>
        </is>
      </c>
      <c r="G86" t="inlineStr">
        <is>
          <t>MJÖLBY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63449-2023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45273</v>
      </c>
      <c r="E87" s="1" t="n">
        <v>46224</v>
      </c>
      <c r="F87" t="inlineStr">
        <is>
          <t>ÖSTERGÖTLANDS LÄN</t>
        </is>
      </c>
      <c r="G87" t="inlineStr">
        <is>
          <t>MJÖLBY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46224</v>
      </c>
      <c r="F88" t="inlineStr">
        <is>
          <t>ÖSTERGÖTLANDS LÄN</t>
        </is>
      </c>
      <c r="G88" t="inlineStr">
        <is>
          <t>MJÖLBY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37802-2022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46224</v>
      </c>
      <c r="F89" t="inlineStr">
        <is>
          <t>ÖSTERGÖTLANDS LÄN</t>
        </is>
      </c>
      <c r="G89" t="inlineStr">
        <is>
          <t>MJÖLBY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45681</v>
      </c>
      <c r="E90" s="1" t="n">
        <v>46224</v>
      </c>
      <c r="F90" t="inlineStr">
        <is>
          <t>ÖSTERGÖTLANDS LÄN</t>
        </is>
      </c>
      <c r="G90" t="inlineStr">
        <is>
          <t>MJÖLBY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44769-2025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45917</v>
      </c>
      <c r="E91" s="1" t="n">
        <v>46224</v>
      </c>
      <c r="F91" t="inlineStr">
        <is>
          <t>ÖSTERGÖTLANDS LÄN</t>
        </is>
      </c>
      <c r="G91" t="inlineStr">
        <is>
          <t>MJÖLBY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44770-2025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45917</v>
      </c>
      <c r="E92" s="1" t="n">
        <v>46224</v>
      </c>
      <c r="F92" t="inlineStr">
        <is>
          <t>ÖSTERGÖTLANDS LÄN</t>
        </is>
      </c>
      <c r="G92" t="inlineStr">
        <is>
          <t>MJÖLBY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45882</v>
      </c>
      <c r="E93" s="1" t="n">
        <v>46224</v>
      </c>
      <c r="F93" t="inlineStr">
        <is>
          <t>ÖSTERGÖTLANDS LÄN</t>
        </is>
      </c>
      <c r="G93" t="inlineStr">
        <is>
          <t>MJÖLBY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45674</v>
      </c>
      <c r="E94" s="1" t="n">
        <v>46224</v>
      </c>
      <c r="F94" t="inlineStr">
        <is>
          <t>ÖSTERGÖTLANDS LÄN</t>
        </is>
      </c>
      <c r="G94" t="inlineStr">
        <is>
          <t>MJÖLBY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45973</v>
      </c>
      <c r="E95" s="1" t="n">
        <v>46224</v>
      </c>
      <c r="F95" t="inlineStr">
        <is>
          <t>ÖSTERGÖTLANDS LÄN</t>
        </is>
      </c>
      <c r="G95" t="inlineStr">
        <is>
          <t>MJÖLBY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65921-2021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46224</v>
      </c>
      <c r="F96" t="inlineStr">
        <is>
          <t>ÖSTERGÖTLANDS LÄN</t>
        </is>
      </c>
      <c r="G96" t="inlineStr">
        <is>
          <t>MJÖLBY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46224</v>
      </c>
      <c r="F97" t="inlineStr">
        <is>
          <t>ÖSTERGÖTLANDS LÄN</t>
        </is>
      </c>
      <c r="G97" t="inlineStr">
        <is>
          <t>MJÖLBY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45979</v>
      </c>
      <c r="E98" s="1" t="n">
        <v>46224</v>
      </c>
      <c r="F98" t="inlineStr">
        <is>
          <t>ÖSTERGÖTLANDS LÄN</t>
        </is>
      </c>
      <c r="G98" t="inlineStr">
        <is>
          <t>MJÖLBY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57194-2025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45979</v>
      </c>
      <c r="E99" s="1" t="n">
        <v>46224</v>
      </c>
      <c r="F99" t="inlineStr">
        <is>
          <t>ÖSTERGÖTLANDS LÄN</t>
        </is>
      </c>
      <c r="G99" t="inlineStr">
        <is>
          <t>MJÖLBY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45982</v>
      </c>
      <c r="E100" s="1" t="n">
        <v>46224</v>
      </c>
      <c r="F100" t="inlineStr">
        <is>
          <t>ÖSTERGÖTLANDS LÄN</t>
        </is>
      </c>
      <c r="G100" t="inlineStr">
        <is>
          <t>MJÖLBY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50181-2023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46224</v>
      </c>
      <c r="F101" t="inlineStr">
        <is>
          <t>ÖSTERGÖTLANDS LÄN</t>
        </is>
      </c>
      <c r="G101" t="inlineStr">
        <is>
          <t>MJÖLBY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46224</v>
      </c>
      <c r="F102" t="inlineStr">
        <is>
          <t>ÖSTERGÖTLANDS LÄN</t>
        </is>
      </c>
      <c r="G102" t="inlineStr">
        <is>
          <t>MJÖLBY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46224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46224</v>
      </c>
      <c r="F104" t="inlineStr">
        <is>
          <t>ÖSTERGÖTLANDS LÄN</t>
        </is>
      </c>
      <c r="G104" t="inlineStr">
        <is>
          <t>MJÖLBY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46224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46224</v>
      </c>
      <c r="F106" t="inlineStr">
        <is>
          <t>ÖSTERGÖTLANDS LÄN</t>
        </is>
      </c>
      <c r="G106" t="inlineStr">
        <is>
          <t>MJÖLBY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44936</v>
      </c>
      <c r="E107" s="1" t="n">
        <v>46224</v>
      </c>
      <c r="F107" t="inlineStr">
        <is>
          <t>ÖSTERGÖTLANDS LÄN</t>
        </is>
      </c>
      <c r="G107" t="inlineStr">
        <is>
          <t>MJÖLBY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41337-2023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45174</v>
      </c>
      <c r="E108" s="1" t="n">
        <v>46224</v>
      </c>
      <c r="F108" t="inlineStr">
        <is>
          <t>ÖSTERGÖTLANDS LÄN</t>
        </is>
      </c>
      <c r="G108" t="inlineStr">
        <is>
          <t>MJÖLBY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45370</v>
      </c>
      <c r="E109" s="1" t="n">
        <v>46224</v>
      </c>
      <c r="F109" t="inlineStr">
        <is>
          <t>ÖSTERGÖTLANDS LÄN</t>
        </is>
      </c>
      <c r="G109" t="inlineStr">
        <is>
          <t>MJÖLBY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46048</v>
      </c>
      <c r="E110" s="1" t="n">
        <v>46224</v>
      </c>
      <c r="F110" t="inlineStr">
        <is>
          <t>ÖSTERGÖTLANDS LÄN</t>
        </is>
      </c>
      <c r="G110" t="inlineStr">
        <is>
          <t>MJÖLBY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46048</v>
      </c>
      <c r="E111" s="1" t="n">
        <v>46224</v>
      </c>
      <c r="F111" t="inlineStr">
        <is>
          <t>ÖSTERGÖTLANDS LÄN</t>
        </is>
      </c>
      <c r="G111" t="inlineStr">
        <is>
          <t>MJÖLBY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45370</v>
      </c>
      <c r="E112" s="1" t="n">
        <v>46224</v>
      </c>
      <c r="F112" t="inlineStr">
        <is>
          <t>ÖSTERGÖTLANDS LÄN</t>
        </is>
      </c>
      <c r="G112" t="inlineStr">
        <is>
          <t>MJÖLBY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45376</v>
      </c>
      <c r="E113" s="1" t="n">
        <v>46224</v>
      </c>
      <c r="F113" t="inlineStr">
        <is>
          <t>ÖSTERGÖTLANDS LÄN</t>
        </is>
      </c>
      <c r="G113" t="inlineStr">
        <is>
          <t>MJÖLBY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45681</v>
      </c>
      <c r="E114" s="1" t="n">
        <v>46224</v>
      </c>
      <c r="F114" t="inlineStr">
        <is>
          <t>ÖSTERGÖTLANDS LÄN</t>
        </is>
      </c>
      <c r="G114" t="inlineStr">
        <is>
          <t>MJÖLBY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44904</v>
      </c>
      <c r="E115" s="1" t="n">
        <v>46224</v>
      </c>
      <c r="F115" t="inlineStr">
        <is>
          <t>ÖSTERGÖTLANDS LÄN</t>
        </is>
      </c>
      <c r="G115" t="inlineStr">
        <is>
          <t>MJÖLBY</t>
        </is>
      </c>
      <c r="H115" t="inlineStr">
        <is>
          <t>Övriga Aktiebolag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44580</v>
      </c>
      <c r="E116" s="1" t="n">
        <v>46224</v>
      </c>
      <c r="F116" t="inlineStr">
        <is>
          <t>ÖSTERGÖTLANDS LÄN</t>
        </is>
      </c>
      <c r="G116" t="inlineStr">
        <is>
          <t>MJÖLBY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45301</v>
      </c>
      <c r="E117" s="1" t="n">
        <v>46224</v>
      </c>
      <c r="F117" t="inlineStr">
        <is>
          <t>ÖSTERGÖTLANDS LÄN</t>
        </is>
      </c>
      <c r="G117" t="inlineStr">
        <is>
          <t>MJÖLBY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45666</v>
      </c>
      <c r="E118" s="1" t="n">
        <v>46224</v>
      </c>
      <c r="F118" t="inlineStr">
        <is>
          <t>ÖSTERGÖTLANDS LÄN</t>
        </is>
      </c>
      <c r="G118" t="inlineStr">
        <is>
          <t>MJÖLBY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45526</v>
      </c>
      <c r="E119" s="1" t="n">
        <v>46224</v>
      </c>
      <c r="F119" t="inlineStr">
        <is>
          <t>ÖSTERGÖTLANDS LÄN</t>
        </is>
      </c>
      <c r="G119" t="inlineStr">
        <is>
          <t>MJÖLBY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11064-2026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46079</v>
      </c>
      <c r="E120" s="1" t="n">
        <v>46224</v>
      </c>
      <c r="F120" t="inlineStr">
        <is>
          <t>ÖSTERGÖTLANDS LÄN</t>
        </is>
      </c>
      <c r="G120" t="inlineStr">
        <is>
          <t>MJÖLBY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45269</v>
      </c>
      <c r="E121" s="1" t="n">
        <v>46224</v>
      </c>
      <c r="F121" t="inlineStr">
        <is>
          <t>ÖSTERGÖTLANDS LÄN</t>
        </is>
      </c>
      <c r="G121" t="inlineStr">
        <is>
          <t>MJÖLBY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45602</v>
      </c>
      <c r="E122" s="1" t="n">
        <v>46224</v>
      </c>
      <c r="F122" t="inlineStr">
        <is>
          <t>ÖSTERGÖTLANDS LÄN</t>
        </is>
      </c>
      <c r="G122" t="inlineStr">
        <is>
          <t>MJÖLBY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45602</v>
      </c>
      <c r="E123" s="1" t="n">
        <v>46224</v>
      </c>
      <c r="F123" t="inlineStr">
        <is>
          <t>ÖSTERGÖTLANDS LÄN</t>
        </is>
      </c>
      <c r="G123" t="inlineStr">
        <is>
          <t>MJÖLBY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44946</v>
      </c>
      <c r="E124" s="1" t="n">
        <v>46224</v>
      </c>
      <c r="F124" t="inlineStr">
        <is>
          <t>ÖSTERGÖTLANDS LÄN</t>
        </is>
      </c>
      <c r="G124" t="inlineStr">
        <is>
          <t>MJÖLBY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4314-2024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45324</v>
      </c>
      <c r="E125" s="1" t="n">
        <v>46224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Kyrkan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15032-2026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46104</v>
      </c>
      <c r="E126" s="1" t="n">
        <v>46224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14928-2026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46104</v>
      </c>
      <c r="E127" s="1" t="n">
        <v>46224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12769-2024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45384</v>
      </c>
      <c r="E128" s="1" t="n">
        <v>46224</v>
      </c>
      <c r="F128" t="inlineStr">
        <is>
          <t>ÖSTERGÖTLANDS LÄN</t>
        </is>
      </c>
      <c r="G128" t="inlineStr">
        <is>
          <t>MJÖLBY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45597</v>
      </c>
      <c r="E129" s="1" t="n">
        <v>46224</v>
      </c>
      <c r="F129" t="inlineStr">
        <is>
          <t>ÖSTERGÖTLANDS LÄN</t>
        </is>
      </c>
      <c r="G129" t="inlineStr">
        <is>
          <t>MJÖLBY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16110-2026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46108</v>
      </c>
      <c r="E130" s="1" t="n">
        <v>46224</v>
      </c>
      <c r="F130" t="inlineStr">
        <is>
          <t>ÖSTERGÖTLANDS LÄN</t>
        </is>
      </c>
      <c r="G130" t="inlineStr">
        <is>
          <t>MJÖLBY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46224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41819-2023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45176</v>
      </c>
      <c r="E132" s="1" t="n">
        <v>46224</v>
      </c>
      <c r="F132" t="inlineStr">
        <is>
          <t>ÖSTERGÖTLANDS LÄN</t>
        </is>
      </c>
      <c r="G132" t="inlineStr">
        <is>
          <t>MJÖLBY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58415-2021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44488</v>
      </c>
      <c r="E133" s="1" t="n">
        <v>46224</v>
      </c>
      <c r="F133" t="inlineStr">
        <is>
          <t>ÖSTERGÖTLANDS LÄN</t>
        </is>
      </c>
      <c r="G133" t="inlineStr">
        <is>
          <t>MJÖLBY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22307-2024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45446</v>
      </c>
      <c r="E134" s="1" t="n">
        <v>46224</v>
      </c>
      <c r="F134" t="inlineStr">
        <is>
          <t>ÖSTERGÖTLANDS LÄN</t>
        </is>
      </c>
      <c r="G134" t="inlineStr">
        <is>
          <t>MJÖLBY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46240-2021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44442</v>
      </c>
      <c r="E135" s="1" t="n">
        <v>46224</v>
      </c>
      <c r="F135" t="inlineStr">
        <is>
          <t>ÖSTERGÖTLANDS LÄN</t>
        </is>
      </c>
      <c r="G135" t="inlineStr">
        <is>
          <t>MJÖLBY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17700-2026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46121</v>
      </c>
      <c r="E136" s="1" t="n">
        <v>46224</v>
      </c>
      <c r="F136" t="inlineStr">
        <is>
          <t>ÖSTERGÖTLANDS LÄN</t>
        </is>
      </c>
      <c r="G136" t="inlineStr">
        <is>
          <t>MJÖLBY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44792</v>
      </c>
      <c r="E137" s="1" t="n">
        <v>46224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Kommuner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17699-2026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46121</v>
      </c>
      <c r="E138" s="1" t="n">
        <v>46224</v>
      </c>
      <c r="F138" t="inlineStr">
        <is>
          <t>ÖSTERGÖTLANDS LÄN</t>
        </is>
      </c>
      <c r="G138" t="inlineStr">
        <is>
          <t>MJÖLBY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18517-2026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46127</v>
      </c>
      <c r="E139" s="1" t="n">
        <v>46224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46224</v>
      </c>
      <c r="F140" t="inlineStr">
        <is>
          <t>ÖSTERGÖTLANDS LÄN</t>
        </is>
      </c>
      <c r="G140" t="inlineStr">
        <is>
          <t>MJÖLBY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46224</v>
      </c>
      <c r="F141" t="inlineStr">
        <is>
          <t>ÖSTERGÖTLANDS LÄN</t>
        </is>
      </c>
      <c r="G141" t="inlineStr">
        <is>
          <t>MJÖLBY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45261</v>
      </c>
      <c r="E142" s="1" t="n">
        <v>46224</v>
      </c>
      <c r="F142" t="inlineStr">
        <is>
          <t>ÖSTERGÖTLANDS LÄN</t>
        </is>
      </c>
      <c r="G142" t="inlineStr">
        <is>
          <t>MJÖLBY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45812</v>
      </c>
      <c r="E143" s="1" t="n">
        <v>46224</v>
      </c>
      <c r="F143" t="inlineStr">
        <is>
          <t>ÖSTERGÖTLANDS LÄN</t>
        </is>
      </c>
      <c r="G143" t="inlineStr">
        <is>
          <t>MJÖLBY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41105-2025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46224</v>
      </c>
      <c r="F144" t="inlineStr">
        <is>
          <t>ÖSTERGÖTLANDS LÄN</t>
        </is>
      </c>
      <c r="G144" t="inlineStr">
        <is>
          <t>MJÖLBY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45892</v>
      </c>
      <c r="E145" s="1" t="n">
        <v>46224</v>
      </c>
      <c r="F145" t="inlineStr">
        <is>
          <t>ÖSTERGÖTLANDS LÄN</t>
        </is>
      </c>
      <c r="G145" t="inlineStr">
        <is>
          <t>MJÖLBY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42042-2023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45177</v>
      </c>
      <c r="E146" s="1" t="n">
        <v>46224</v>
      </c>
      <c r="F146" t="inlineStr">
        <is>
          <t>ÖSTERGÖTLANDS LÄN</t>
        </is>
      </c>
      <c r="G146" t="inlineStr">
        <is>
          <t>MJÖLBY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45818</v>
      </c>
      <c r="E147" s="1" t="n">
        <v>46224</v>
      </c>
      <c r="F147" t="inlineStr">
        <is>
          <t>ÖSTERGÖTLANDS LÄN</t>
        </is>
      </c>
      <c r="G147" t="inlineStr">
        <is>
          <t>MJÖLBY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46224</v>
      </c>
      <c r="F148" t="inlineStr">
        <is>
          <t>ÖSTERGÖTLANDS LÄN</t>
        </is>
      </c>
      <c r="G148" t="inlineStr">
        <is>
          <t>MJÖLBY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20357-2026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46139</v>
      </c>
      <c r="E149" s="1" t="n">
        <v>46224</v>
      </c>
      <c r="F149" t="inlineStr">
        <is>
          <t>ÖSTERGÖTLANDS LÄN</t>
        </is>
      </c>
      <c r="G149" t="inlineStr">
        <is>
          <t>MJÖLBY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44768</v>
      </c>
      <c r="E150" s="1" t="n">
        <v>46224</v>
      </c>
      <c r="F150" t="inlineStr">
        <is>
          <t>ÖSTERGÖTLANDS LÄN</t>
        </is>
      </c>
      <c r="G150" t="inlineStr">
        <is>
          <t>MJÖLBY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64934-2023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45282</v>
      </c>
      <c r="E151" s="1" t="n">
        <v>46224</v>
      </c>
      <c r="F151" t="inlineStr">
        <is>
          <t>ÖSTERGÖTLANDS LÄN</t>
        </is>
      </c>
      <c r="G151" t="inlineStr">
        <is>
          <t>MJÖLBY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37631-2023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45159</v>
      </c>
      <c r="E152" s="1" t="n">
        <v>46224</v>
      </c>
      <c r="F152" t="inlineStr">
        <is>
          <t>ÖSTERGÖTLANDS LÄN</t>
        </is>
      </c>
      <c r="G152" t="inlineStr">
        <is>
          <t>MJÖLBY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45673</v>
      </c>
      <c r="E153" s="1" t="n">
        <v>46224</v>
      </c>
      <c r="F153" t="inlineStr">
        <is>
          <t>ÖSTERGÖTLANDS LÄN</t>
        </is>
      </c>
      <c r="G153" t="inlineStr">
        <is>
          <t>MJÖLBY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59410-2022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44907</v>
      </c>
      <c r="E154" s="1" t="n">
        <v>46224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59411-2022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44907</v>
      </c>
      <c r="E155" s="1" t="n">
        <v>46224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46007</v>
      </c>
      <c r="E156" s="1" t="n">
        <v>46224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Kommuner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45677</v>
      </c>
      <c r="E157" s="1" t="n">
        <v>46224</v>
      </c>
      <c r="F157" t="inlineStr">
        <is>
          <t>ÖSTERGÖTLANDS LÄN</t>
        </is>
      </c>
      <c r="G157" t="inlineStr">
        <is>
          <t>MJÖLBY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34521-2024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45525</v>
      </c>
      <c r="E158" s="1" t="n">
        <v>46224</v>
      </c>
      <c r="F158" t="inlineStr">
        <is>
          <t>ÖSTERGÖTLANDS LÄN</t>
        </is>
      </c>
      <c r="G158" t="inlineStr">
        <is>
          <t>MJÖLBY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44613</v>
      </c>
      <c r="E159" s="1" t="n">
        <v>46224</v>
      </c>
      <c r="F159" t="inlineStr">
        <is>
          <t>ÖSTERGÖTLANDS LÄN</t>
        </is>
      </c>
      <c r="G159" t="inlineStr">
        <is>
          <t>MJÖLBY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45217</v>
      </c>
      <c r="E160" s="1" t="n">
        <v>46224</v>
      </c>
      <c r="F160" t="inlineStr">
        <is>
          <t>ÖSTERGÖTLANDS LÄN</t>
        </is>
      </c>
      <c r="G160" t="inlineStr">
        <is>
          <t>MJÖLBY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27126-2026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46188</v>
      </c>
      <c r="E161" s="1" t="n">
        <v>46224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27137-2026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46188</v>
      </c>
      <c r="E162" s="1" t="n">
        <v>46224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45261</v>
      </c>
      <c r="E163" s="1" t="n">
        <v>46224</v>
      </c>
      <c r="F163" t="inlineStr">
        <is>
          <t>ÖSTERGÖTLANDS LÄN</t>
        </is>
      </c>
      <c r="G163" t="inlineStr">
        <is>
          <t>MJÖLBY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45378</v>
      </c>
      <c r="E164" s="1" t="n">
        <v>46224</v>
      </c>
      <c r="F164" t="inlineStr">
        <is>
          <t>ÖSTERGÖTLANDS LÄN</t>
        </is>
      </c>
      <c r="G164" t="inlineStr">
        <is>
          <t>MJÖLBY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45378</v>
      </c>
      <c r="E165" s="1" t="n">
        <v>46224</v>
      </c>
      <c r="F165" t="inlineStr">
        <is>
          <t>ÖSTERGÖTLANDS LÄN</t>
        </is>
      </c>
      <c r="G165" t="inlineStr">
        <is>
          <t>MJÖLBY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46148</v>
      </c>
      <c r="E166" s="1" t="n">
        <v>46224</v>
      </c>
      <c r="F166" t="inlineStr">
        <is>
          <t>ÖSTERGÖTLANDS LÄN</t>
        </is>
      </c>
      <c r="G166" t="inlineStr">
        <is>
          <t>MJÖLBY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52655-2023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45225</v>
      </c>
      <c r="E167" s="1" t="n">
        <v>46224</v>
      </c>
      <c r="F167" t="inlineStr">
        <is>
          <t>ÖSTERGÖTLANDS LÄN</t>
        </is>
      </c>
      <c r="G167" t="inlineStr">
        <is>
          <t>MJÖLBY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45085</v>
      </c>
      <c r="E168" s="1" t="n">
        <v>46224</v>
      </c>
      <c r="F168" t="inlineStr">
        <is>
          <t>ÖSTERGÖTLANDS LÄN</t>
        </is>
      </c>
      <c r="G168" t="inlineStr">
        <is>
          <t>MJÖLBY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46224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Kyrkan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11270-2022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44629</v>
      </c>
      <c r="E170" s="1" t="n">
        <v>46224</v>
      </c>
      <c r="F170" t="inlineStr">
        <is>
          <t>ÖSTERGÖTLANDS LÄN</t>
        </is>
      </c>
      <c r="G170" t="inlineStr">
        <is>
          <t>MJÖLBY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46224</v>
      </c>
      <c r="F171" t="inlineStr">
        <is>
          <t>ÖSTERGÖTLANDS LÄN</t>
        </is>
      </c>
      <c r="G171" t="inlineStr">
        <is>
          <t>MJÖLBY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28131-2026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46195</v>
      </c>
      <c r="E172" s="1" t="n">
        <v>46224</v>
      </c>
      <c r="F172" t="inlineStr">
        <is>
          <t>ÖSTERGÖTLANDS LÄN</t>
        </is>
      </c>
      <c r="G172" t="inlineStr">
        <is>
          <t>MJÖLBY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46036</v>
      </c>
      <c r="E173" s="1" t="n">
        <v>46224</v>
      </c>
      <c r="F173" t="inlineStr">
        <is>
          <t>ÖSTERGÖTLANDS LÄN</t>
        </is>
      </c>
      <c r="G173" t="inlineStr">
        <is>
          <t>MJÖLBY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68095-2021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44526</v>
      </c>
      <c r="E174" s="1" t="n">
        <v>46224</v>
      </c>
      <c r="F174" t="inlineStr">
        <is>
          <t>ÖSTERGÖTLANDS LÄN</t>
        </is>
      </c>
      <c r="G174" t="inlineStr">
        <is>
          <t>MJÖLBY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46224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58800-2022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44903</v>
      </c>
      <c r="E176" s="1" t="n">
        <v>46224</v>
      </c>
      <c r="F176" t="inlineStr">
        <is>
          <t>ÖSTERGÖTLANDS LÄN</t>
        </is>
      </c>
      <c r="G176" t="inlineStr">
        <is>
          <t>MJÖLBY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4821-2023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44957</v>
      </c>
      <c r="E177" s="1" t="n">
        <v>46224</v>
      </c>
      <c r="F177" t="inlineStr">
        <is>
          <t>ÖSTERGÖTLANDS LÄN</t>
        </is>
      </c>
      <c r="G177" t="inlineStr">
        <is>
          <t>MJÖLBY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45372</v>
      </c>
      <c r="E178" s="1" t="n">
        <v>46224</v>
      </c>
      <c r="F178" t="inlineStr">
        <is>
          <t>ÖSTERGÖTLANDS LÄN</t>
        </is>
      </c>
      <c r="G178" t="inlineStr">
        <is>
          <t>MJÖLBY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28652-2026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46224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Övriga Aktiebolag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51630-2021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44462</v>
      </c>
      <c r="E180" s="1" t="n">
        <v>46224</v>
      </c>
      <c r="F180" t="inlineStr">
        <is>
          <t>ÖSTERGÖTLANDS LÄN</t>
        </is>
      </c>
      <c r="G180" t="inlineStr">
        <is>
          <t>MJÖLBY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15491-2024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45401</v>
      </c>
      <c r="E181" s="1" t="n">
        <v>46224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45918-2024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45580</v>
      </c>
      <c r="E182" s="1" t="n">
        <v>46224</v>
      </c>
      <c r="F182" t="inlineStr">
        <is>
          <t>ÖSTERGÖTLANDS LÄN</t>
        </is>
      </c>
      <c r="G182" t="inlineStr">
        <is>
          <t>MJÖLBY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45602</v>
      </c>
      <c r="E183" s="1" t="n">
        <v>46224</v>
      </c>
      <c r="F183" t="inlineStr">
        <is>
          <t>ÖSTERGÖTLANDS LÄN</t>
        </is>
      </c>
      <c r="G183" t="inlineStr">
        <is>
          <t>MJÖLBY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46224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Kyrkan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44888</v>
      </c>
      <c r="E185" s="1" t="n">
        <v>46224</v>
      </c>
      <c r="F185" t="inlineStr">
        <is>
          <t>ÖSTERGÖTLANDS LÄN</t>
        </is>
      </c>
      <c r="G185" t="inlineStr">
        <is>
          <t>MJÖLBY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53520-2022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44879</v>
      </c>
      <c r="E186" s="1" t="n">
        <v>46224</v>
      </c>
      <c r="F186" t="inlineStr">
        <is>
          <t>ÖSTERGÖTLANDS LÄN</t>
        </is>
      </c>
      <c r="G186" t="inlineStr">
        <is>
          <t>MJÖLBY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35404-2023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46224</v>
      </c>
      <c r="F187" t="inlineStr">
        <is>
          <t>ÖSTERGÖTLANDS LÄN</t>
        </is>
      </c>
      <c r="G187" t="inlineStr">
        <is>
          <t>MJÖLBY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45666</v>
      </c>
      <c r="E188" s="1" t="n">
        <v>46224</v>
      </c>
      <c r="F188" t="inlineStr">
        <is>
          <t>ÖSTERGÖTLANDS LÄN</t>
        </is>
      </c>
      <c r="G188" t="inlineStr">
        <is>
          <t>MJÖLBY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45259</v>
      </c>
      <c r="E189" s="1" t="n">
        <v>46224</v>
      </c>
      <c r="F189" t="inlineStr">
        <is>
          <t>ÖSTERGÖTLANDS LÄN</t>
        </is>
      </c>
      <c r="G189" t="inlineStr">
        <is>
          <t>MJÖLBY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46168</v>
      </c>
      <c r="E190" s="1" t="n">
        <v>46224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24457-2026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46224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15467-2023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45020</v>
      </c>
      <c r="E192" s="1" t="n">
        <v>46224</v>
      </c>
      <c r="F192" t="inlineStr">
        <is>
          <t>ÖSTERGÖTLANDS LÄN</t>
        </is>
      </c>
      <c r="G192" t="inlineStr">
        <is>
          <t>MJÖLBY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72558-2021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44546</v>
      </c>
      <c r="E193" s="1" t="n">
        <v>46224</v>
      </c>
      <c r="F193" t="inlineStr">
        <is>
          <t>ÖSTERGÖTLANDS LÄN</t>
        </is>
      </c>
      <c r="G193" t="inlineStr">
        <is>
          <t>MJÖLBY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25031-2026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46174</v>
      </c>
      <c r="E194" s="1" t="n">
        <v>46224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24786-2026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46224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31193-2026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46217</v>
      </c>
      <c r="E196" s="1" t="n">
        <v>46224</v>
      </c>
      <c r="F196" t="inlineStr">
        <is>
          <t>ÖSTERGÖTLANDS LÄN</t>
        </is>
      </c>
      <c r="G196" t="inlineStr">
        <is>
          <t>MJÖLBY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46224</v>
      </c>
      <c r="F197" t="inlineStr">
        <is>
          <t>ÖSTERGÖTLANDS LÄN</t>
        </is>
      </c>
      <c r="G197" t="inlineStr">
        <is>
          <t>MJÖLBY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31192-2026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46217</v>
      </c>
      <c r="E198" s="1" t="n">
        <v>46224</v>
      </c>
      <c r="F198" t="inlineStr">
        <is>
          <t>ÖSTERGÖTLANDS LÄN</t>
        </is>
      </c>
      <c r="G198" t="inlineStr">
        <is>
          <t>MJÖLBY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24900-2026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46224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24894-2026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46224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Övriga Aktiebolag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45293</v>
      </c>
      <c r="E201" s="1" t="n">
        <v>46224</v>
      </c>
      <c r="F201" t="inlineStr">
        <is>
          <t>ÖSTERGÖTLANDS LÄN</t>
        </is>
      </c>
      <c r="G201" t="inlineStr">
        <is>
          <t>MJÖLBY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46216</v>
      </c>
      <c r="E202" s="1" t="n">
        <v>46224</v>
      </c>
      <c r="F202" t="inlineStr">
        <is>
          <t>ÖSTERGÖTLANDS LÄN</t>
        </is>
      </c>
      <c r="G202" t="inlineStr">
        <is>
          <t>MJÖLBY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24888-2026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46174</v>
      </c>
      <c r="E203" s="1" t="n">
        <v>46224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46224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24903-2026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46174</v>
      </c>
      <c r="E205" s="1" t="n">
        <v>46224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66977-2021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44522</v>
      </c>
      <c r="E206" s="1" t="n">
        <v>46224</v>
      </c>
      <c r="F206" t="inlineStr">
        <is>
          <t>ÖSTERGÖTLANDS LÄN</t>
        </is>
      </c>
      <c r="G206" t="inlineStr">
        <is>
          <t>MJÖLBY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25503-2026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46177</v>
      </c>
      <c r="E207" s="1" t="n">
        <v>46224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49566-2021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44455</v>
      </c>
      <c r="E208" s="1" t="n">
        <v>46224</v>
      </c>
      <c r="F208" t="inlineStr">
        <is>
          <t>ÖSTERGÖTLANDS LÄN</t>
        </is>
      </c>
      <c r="G208" t="inlineStr">
        <is>
          <t>MJÖLBY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15276-2022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44659</v>
      </c>
      <c r="E209" s="1" t="n">
        <v>46224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Kyrkan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45037</v>
      </c>
      <c r="E210" s="1" t="n">
        <v>46224</v>
      </c>
      <c r="F210" t="inlineStr">
        <is>
          <t>ÖSTERGÖTLANDS LÄN</t>
        </is>
      </c>
      <c r="G210" t="inlineStr">
        <is>
          <t>MJÖLBY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45581</v>
      </c>
      <c r="E211" s="1" t="n">
        <v>46224</v>
      </c>
      <c r="F211" t="inlineStr">
        <is>
          <t>ÖSTERGÖTLANDS LÄN</t>
        </is>
      </c>
      <c r="G211" t="inlineStr">
        <is>
          <t>MJÖLBY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61575-2023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45261</v>
      </c>
      <c r="E212" s="1" t="n">
        <v>46224</v>
      </c>
      <c r="F212" t="inlineStr">
        <is>
          <t>ÖSTERGÖTLANDS LÄN</t>
        </is>
      </c>
      <c r="G212" t="inlineStr">
        <is>
          <t>MJÖLBY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45526</v>
      </c>
      <c r="E213" s="1" t="n">
        <v>46224</v>
      </c>
      <c r="F213" t="inlineStr">
        <is>
          <t>ÖSTERGÖTLANDS LÄN</t>
        </is>
      </c>
      <c r="G213" t="inlineStr">
        <is>
          <t>MJÖLBY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45539</v>
      </c>
      <c r="E214" s="1" t="n">
        <v>46224</v>
      </c>
      <c r="F214" t="inlineStr">
        <is>
          <t>ÖSTERGÖTLANDS LÄN</t>
        </is>
      </c>
      <c r="G214" t="inlineStr">
        <is>
          <t>MJÖLBY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45384</v>
      </c>
      <c r="E215" s="1" t="n">
        <v>46224</v>
      </c>
      <c r="F215" t="inlineStr">
        <is>
          <t>ÖSTERGÖTLANDS LÄN</t>
        </is>
      </c>
      <c r="G215" t="inlineStr">
        <is>
          <t>MJÖLBY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46224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2026-07-21T01:36:10Z</dcterms:created>
  <dcterms:modified xmlns:dcterms="http://purl.org/dc/terms/" xmlns:xsi="http://www.w3.org/2001/XMLSchema-instance" xsi:type="dcterms:W3CDTF">2026-07-21T01:36:10Z</dcterms:modified>
</cp:coreProperties>
</file>