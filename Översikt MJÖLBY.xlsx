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46250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46250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45164-2023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45191</v>
      </c>
      <c r="E7" s="1" t="n">
        <v>46250</v>
      </c>
      <c r="F7" t="inlineStr">
        <is>
          <t>ÖSTERGÖTLANDS LÄN</t>
        </is>
      </c>
      <c r="G7" t="inlineStr">
        <is>
          <t>MJÖLBY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Skogsduva</t>
        </is>
      </c>
      <c r="W7">
        <f>HYPERLINK("https://klasma.github.io/Logging_0586/artfynd/A 45164-2023 artfynd.xlsx", "A 45164-2023")</f>
        <v/>
      </c>
      <c r="X7">
        <f>HYPERLINK("https://klasma.github.io/Logging_0586/kartor/A 45164-2023 karta.png", "A 45164-2023")</f>
        <v/>
      </c>
      <c r="Y7">
        <f>HYPERLINK("https://klasma.github.io/Logging_0586/kartor_geotiff/A 45164-2023 georefererad karta.tif", "A 45164-2023")</f>
        <v/>
      </c>
      <c r="AA7">
        <f>HYPERLINK("https://klasma.github.io/Logging_0586/klagomål/A 45164-2023 FSC-klagomål.docx", "A 45164-2023")</f>
        <v/>
      </c>
      <c r="AB7">
        <f>HYPERLINK("https://klasma.github.io/Logging_0586/klagomålsmail/A 45164-2023 FSC-klagomål mail.docx", "A 45164-2023")</f>
        <v/>
      </c>
      <c r="AC7">
        <f>HYPERLINK("https://klasma.github.io/Logging_0586/tillsyn/A 45164-2023 tillsynsbegäran.docx", "A 45164-2023")</f>
        <v/>
      </c>
      <c r="AD7">
        <f>HYPERLINK("https://klasma.github.io/Logging_0586/tillsynsmail/A 45164-2023 tillsynsbegäran mail.docx", "A 45164-2023")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46250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46250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46250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46250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46250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62852-2025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46008</v>
      </c>
      <c r="E13" s="1" t="n">
        <v>46250</v>
      </c>
      <c r="F13" t="inlineStr">
        <is>
          <t>ÖSTERGÖTLANDS LÄN</t>
        </is>
      </c>
      <c r="G13" t="inlineStr">
        <is>
          <t>MJÖLBY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62852-2025 artfynd.xlsx", "A 62852-2025")</f>
        <v/>
      </c>
      <c r="X13">
        <f>HYPERLINK("https://klasma.github.io/Logging_0586/kartor/A 62852-2025 karta.png", "A 62852-2025")</f>
        <v/>
      </c>
      <c r="Y13">
        <f>HYPERLINK("https://klasma.github.io/Logging_0586/kartor_geotiff/A 62852-2025 georefererad karta.tif", "A 62852-2025")</f>
        <v/>
      </c>
      <c r="AA13">
        <f>HYPERLINK("https://klasma.github.io/Logging_0586/klagomål/A 62852-2025 FSC-klagomål.docx", "A 62852-2025")</f>
        <v/>
      </c>
      <c r="AB13">
        <f>HYPERLINK("https://klasma.github.io/Logging_0586/klagomålsmail/A 62852-2025 FSC-klagomål mail.docx", "A 62852-2025")</f>
        <v/>
      </c>
      <c r="AC13">
        <f>HYPERLINK("https://klasma.github.io/Logging_0586/tillsyn/A 62852-2025 tillsynsbegäran.docx", "A 62852-2025")</f>
        <v/>
      </c>
      <c r="AD13">
        <f>HYPERLINK("https://klasma.github.io/Logging_0586/tillsynsmail/A 62852-2025 tillsynsbegäran mail.docx", "A 62852-2025")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46250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13567-2025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45736</v>
      </c>
      <c r="E15" s="1" t="n">
        <v>46250</v>
      </c>
      <c r="F15" t="inlineStr">
        <is>
          <t>ÖSTERGÖTLANDS LÄN</t>
        </is>
      </c>
      <c r="G15" t="inlineStr">
        <is>
          <t>MJÖLBY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Klubbsprötad bastardsvärmare</t>
        </is>
      </c>
      <c r="W15">
        <f>HYPERLINK("https://klasma.github.io/Logging_0586/artfynd/A 13567-2025 artfynd.xlsx", "A 13567-2025")</f>
        <v/>
      </c>
      <c r="X15">
        <f>HYPERLINK("https://klasma.github.io/Logging_0586/kartor/A 13567-2025 karta.png", "A 13567-2025")</f>
        <v/>
      </c>
      <c r="Y15">
        <f>HYPERLINK("https://klasma.github.io/Logging_0586/kartor_geotiff/A 13567-2025 georefererad karta.tif", "A 13567-2025")</f>
        <v/>
      </c>
      <c r="AA15">
        <f>HYPERLINK("https://klasma.github.io/Logging_0586/klagomål/A 13567-2025 FSC-klagomål.docx", "A 13567-2025")</f>
        <v/>
      </c>
      <c r="AB15">
        <f>HYPERLINK("https://klasma.github.io/Logging_0586/klagomålsmail/A 13567-2025 FSC-klagomål mail.docx", "A 13567-2025")</f>
        <v/>
      </c>
      <c r="AC15">
        <f>HYPERLINK("https://klasma.github.io/Logging_0586/tillsyn/A 13567-2025 tillsynsbegäran.docx", "A 13567-2025")</f>
        <v/>
      </c>
      <c r="AD15">
        <f>HYPERLINK("https://klasma.github.io/Logging_0586/tillsynsmail/A 13567-2025 tillsynsbegäran mail.docx", "A 13567-2025")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46250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22327-2024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46250</v>
      </c>
      <c r="F17" t="inlineStr">
        <is>
          <t>ÖSTERGÖTLANDS LÄN</t>
        </is>
      </c>
      <c r="G17" t="inlineStr">
        <is>
          <t>MJÖLBY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HYPERLINK("https://klasma.github.io/Logging_0586/artfynd/A 22327-2024 artfynd.xlsx", "A 22327-2024")</f>
        <v/>
      </c>
      <c r="X17">
        <f>HYPERLINK("https://klasma.github.io/Logging_0586/kartor/A 22327-2024 karta.png", "A 22327-2024")</f>
        <v/>
      </c>
      <c r="Y17">
        <f>HYPERLINK("https://klasma.github.io/Logging_0586/kartor_geotiff/A 22327-2024 georefererad karta.tif", "A 22327-2024")</f>
        <v/>
      </c>
      <c r="AA17">
        <f>HYPERLINK("https://klasma.github.io/Logging_0586/klagomål/A 22327-2024 FSC-klagomål.docx", "A 22327-2024")</f>
        <v/>
      </c>
      <c r="AB17">
        <f>HYPERLINK("https://klasma.github.io/Logging_0586/klagomålsmail/A 22327-2024 FSC-klagomål mail.docx", "A 22327-2024")</f>
        <v/>
      </c>
      <c r="AC17">
        <f>HYPERLINK("https://klasma.github.io/Logging_0586/tillsyn/A 22327-2024 tillsynsbegäran.docx", "A 22327-2024")</f>
        <v/>
      </c>
      <c r="AD17">
        <f>HYPERLINK("https://klasma.github.io/Logging_0586/tillsynsmail/A 22327-2024 tillsynsbegäran mail.docx", "A 22327-2024")</f>
        <v/>
      </c>
    </row>
    <row r="18" ht="15" customHeight="1">
      <c r="A18" t="inlineStr">
        <is>
          <t>A 44468-2021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44435</v>
      </c>
      <c r="E18" s="1" t="n">
        <v>46250</v>
      </c>
      <c r="F18" t="inlineStr">
        <is>
          <t>ÖSTERGÖTLANDS LÄN</t>
        </is>
      </c>
      <c r="G18" t="inlineStr">
        <is>
          <t>MJÖLBY</t>
        </is>
      </c>
      <c r="H18" t="inlineStr">
        <is>
          <t>Kommuner</t>
        </is>
      </c>
      <c r="I18" t="n">
        <v>3.5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HYPERLINK("https://klasma.github.io/Logging_0586/artfynd/A 44468-2021 artfynd.xlsx", "A 44468-2021")</f>
        <v/>
      </c>
      <c r="X18">
        <f>HYPERLINK("https://klasma.github.io/Logging_0586/kartor/A 44468-2021 karta.png", "A 44468-2021")</f>
        <v/>
      </c>
      <c r="Y18">
        <f>HYPERLINK("https://klasma.github.io/Logging_0586/kartor_geotiff/A 44468-2021 georefererad karta.tif", "A 44468-2021")</f>
        <v/>
      </c>
      <c r="AA18">
        <f>HYPERLINK("https://klasma.github.io/Logging_0586/klagomål/A 44468-2021 FSC-klagomål.docx", "A 44468-2021")</f>
        <v/>
      </c>
      <c r="AB18">
        <f>HYPERLINK("https://klasma.github.io/Logging_0586/klagomålsmail/A 44468-2021 FSC-klagomål mail.docx", "A 44468-2021")</f>
        <v/>
      </c>
      <c r="AC18">
        <f>HYPERLINK("https://klasma.github.io/Logging_0586/tillsyn/A 44468-2021 tillsynsbegäran.docx", "A 44468-2021")</f>
        <v/>
      </c>
      <c r="AD18">
        <f>HYPERLINK("https://klasma.github.io/Logging_0586/tillsynsmail/A 44468-2021 tillsynsbegäran mail.docx", "A 44468-2021")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46250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46250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60983-2023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45261</v>
      </c>
      <c r="E21" s="1" t="n">
        <v>46250</v>
      </c>
      <c r="F21" t="inlineStr">
        <is>
          <t>ÖSTERGÖTLANDS LÄN</t>
        </is>
      </c>
      <c r="G21" t="inlineStr">
        <is>
          <t>MJÖLBY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HYPERLINK("https://klasma.github.io/Logging_0586/artfynd/A 60983-2023 artfynd.xlsx", "A 60983-2023")</f>
        <v/>
      </c>
      <c r="X21">
        <f>HYPERLINK("https://klasma.github.io/Logging_0586/kartor/A 60983-2023 karta.png", "A 60983-2023")</f>
        <v/>
      </c>
      <c r="Y21">
        <f>HYPERLINK("https://klasma.github.io/Logging_0586/kartor_geotiff/A 60983-2023 georefererad karta.tif", "A 60983-2023")</f>
        <v/>
      </c>
      <c r="AA21">
        <f>HYPERLINK("https://klasma.github.io/Logging_0586/klagomål/A 60983-2023 FSC-klagomål.docx", "A 60983-2023")</f>
        <v/>
      </c>
      <c r="AB21">
        <f>HYPERLINK("https://klasma.github.io/Logging_0586/klagomålsmail/A 60983-2023 FSC-klagomål mail.docx", "A 60983-2023")</f>
        <v/>
      </c>
      <c r="AC21">
        <f>HYPERLINK("https://klasma.github.io/Logging_0586/tillsyn/A 60983-2023 tillsynsbegäran.docx", "A 60983-2023")</f>
        <v/>
      </c>
      <c r="AD21">
        <f>HYPERLINK("https://klasma.github.io/Logging_0586/tillsynsmail/A 60983-2023 tillsynsbegäran mail.docx", "A 60983-2023")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46250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46250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54444-2021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44473</v>
      </c>
      <c r="E24" s="1" t="n">
        <v>46250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Ängshök</t>
        </is>
      </c>
      <c r="W24">
        <f>HYPERLINK("https://klasma.github.io/Logging_0586/artfynd/A 54444-2021 artfynd.xlsx", "A 54444-2021")</f>
        <v/>
      </c>
      <c r="X24">
        <f>HYPERLINK("https://klasma.github.io/Logging_0586/kartor/A 54444-2021 karta.png", "A 54444-2021")</f>
        <v/>
      </c>
      <c r="Y24">
        <f>HYPERLINK("https://klasma.github.io/Logging_0586/kartor_geotiff/A 54444-2021 georefererad karta.tif", "A 54444-2021")</f>
        <v/>
      </c>
      <c r="AA24">
        <f>HYPERLINK("https://klasma.github.io/Logging_0586/klagomål/A 54444-2021 FSC-klagomål.docx", "A 54444-2021")</f>
        <v/>
      </c>
      <c r="AB24">
        <f>HYPERLINK("https://klasma.github.io/Logging_0586/klagomålsmail/A 54444-2021 FSC-klagomål mail.docx", "A 54444-2021")</f>
        <v/>
      </c>
      <c r="AC24">
        <f>HYPERLINK("https://klasma.github.io/Logging_0586/tillsyn/A 54444-2021 tillsynsbegäran.docx", "A 54444-2021")</f>
        <v/>
      </c>
      <c r="AD24">
        <f>HYPERLINK("https://klasma.github.io/Logging_0586/tillsynsmail/A 54444-2021 tillsynsbegäran mail.docx", "A 54444-2021")</f>
        <v/>
      </c>
    </row>
    <row r="25" ht="15" customHeight="1">
      <c r="A25" t="inlineStr">
        <is>
          <t>A 9030-2022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44615</v>
      </c>
      <c r="E25" s="1" t="n">
        <v>46250</v>
      </c>
      <c r="F25" t="inlineStr">
        <is>
          <t>ÖSTERGÖTLANDS LÄN</t>
        </is>
      </c>
      <c r="G25" t="inlineStr">
        <is>
          <t>MJÖLBY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Skogsalm</t>
        </is>
      </c>
      <c r="W25">
        <f>HYPERLINK("https://klasma.github.io/Logging_0586/artfynd/A 9030-2022 artfynd.xlsx", "A 9030-2022")</f>
        <v/>
      </c>
      <c r="X25">
        <f>HYPERLINK("https://klasma.github.io/Logging_0586/kartor/A 9030-2022 karta.png", "A 9030-2022")</f>
        <v/>
      </c>
      <c r="Y25">
        <f>HYPERLINK("https://klasma.github.io/Logging_0586/kartor_geotiff/A 9030-2022 georefererad karta.tif", "A 9030-2022")</f>
        <v/>
      </c>
      <c r="AA25">
        <f>HYPERLINK("https://klasma.github.io/Logging_0586/klagomål/A 9030-2022 FSC-klagomål.docx", "A 9030-2022")</f>
        <v/>
      </c>
      <c r="AB25">
        <f>HYPERLINK("https://klasma.github.io/Logging_0586/klagomålsmail/A 9030-2022 FSC-klagomål mail.docx", "A 9030-2022")</f>
        <v/>
      </c>
      <c r="AC25">
        <f>HYPERLINK("https://klasma.github.io/Logging_0586/tillsyn/A 9030-2022 tillsynsbegäran.docx", "A 9030-2022")</f>
        <v/>
      </c>
      <c r="AD25">
        <f>HYPERLINK("https://klasma.github.io/Logging_0586/tillsynsmail/A 9030-2022 tillsynsbegäran mail.docx", "A 9030-2022")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46250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32573-2026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46250</v>
      </c>
      <c r="F27" t="inlineStr">
        <is>
          <t>ÖSTERGÖTLANDS LÄN</t>
        </is>
      </c>
      <c r="G27" t="inlineStr">
        <is>
          <t>MJÖLBY</t>
        </is>
      </c>
      <c r="H27" t="inlineStr">
        <is>
          <t>Övriga Aktiebolag</t>
        </is>
      </c>
      <c r="I27" t="n">
        <v>6.6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HYPERLINK("https://klasma.github.io/Logging_0586/artfynd/A 32573-2026 artfynd.xlsx", "A 32573-2026")</f>
        <v/>
      </c>
      <c r="X27">
        <f>HYPERLINK("https://klasma.github.io/Logging_0586/kartor/A 32573-2026 karta.png", "A 32573-2026")</f>
        <v/>
      </c>
      <c r="Y27">
        <f>HYPERLINK("https://klasma.github.io/Logging_0586/kartor_geotiff/A 32573-2026 georefererad karta.tif", "A 32573-2026")</f>
        <v/>
      </c>
      <c r="AA27">
        <f>HYPERLINK("https://klasma.github.io/Logging_0586/klagomål/A 32573-2026 FSC-klagomål.docx", "A 32573-2026")</f>
        <v/>
      </c>
      <c r="AB27">
        <f>HYPERLINK("https://klasma.github.io/Logging_0586/klagomålsmail/A 32573-2026 FSC-klagomål mail.docx", "A 32573-2026")</f>
        <v/>
      </c>
      <c r="AC27">
        <f>HYPERLINK("https://klasma.github.io/Logging_0586/tillsyn/A 32573-2026 tillsynsbegäran.docx", "A 32573-2026")</f>
        <v/>
      </c>
      <c r="AD27">
        <f>HYPERLINK("https://klasma.github.io/Logging_0586/tillsynsmail/A 32573-2026 tillsynsbegäran mail.docx", "A 32573-2026")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46250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46250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46250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46250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46250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46250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45037</v>
      </c>
      <c r="E34" s="1" t="n">
        <v>46250</v>
      </c>
      <c r="F34" t="inlineStr">
        <is>
          <t>ÖSTERGÖTLANDS LÄN</t>
        </is>
      </c>
      <c r="G34" t="inlineStr">
        <is>
          <t>MJÖLBY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46250</v>
      </c>
      <c r="F35" t="inlineStr">
        <is>
          <t>ÖSTERGÖTLANDS LÄN</t>
        </is>
      </c>
      <c r="G35" t="inlineStr">
        <is>
          <t>MJÖLBY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46250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48438-2021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46250</v>
      </c>
      <c r="F37" t="inlineStr">
        <is>
          <t>ÖSTERGÖTLANDS LÄN</t>
        </is>
      </c>
      <c r="G37" t="inlineStr">
        <is>
          <t>MJÖLBY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45882</v>
      </c>
      <c r="E38" s="1" t="n">
        <v>46250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46250</v>
      </c>
      <c r="F39" t="inlineStr">
        <is>
          <t>ÖSTERGÖTLANDS LÄN</t>
        </is>
      </c>
      <c r="G39" t="inlineStr">
        <is>
          <t>MJÖLBY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44473</v>
      </c>
      <c r="E40" s="1" t="n">
        <v>46250</v>
      </c>
      <c r="F40" t="inlineStr">
        <is>
          <t>ÖSTERGÖTLANDS LÄN</t>
        </is>
      </c>
      <c r="G40" t="inlineStr">
        <is>
          <t>MJÖLBY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46250</v>
      </c>
      <c r="F41" t="inlineStr">
        <is>
          <t>ÖSTERGÖTLANDS LÄN</t>
        </is>
      </c>
      <c r="G41" t="inlineStr">
        <is>
          <t>MJÖLBY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46250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46250</v>
      </c>
      <c r="F43" t="inlineStr">
        <is>
          <t>ÖSTERGÖTLANDS LÄN</t>
        </is>
      </c>
      <c r="G43" t="inlineStr">
        <is>
          <t>MJÖLBY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46250</v>
      </c>
      <c r="F44" t="inlineStr">
        <is>
          <t>ÖSTERGÖTLANDS LÄN</t>
        </is>
      </c>
      <c r="G44" t="inlineStr">
        <is>
          <t>MJÖLBY</t>
        </is>
      </c>
      <c r="H44" t="inlineStr">
        <is>
          <t>Kommuner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46250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46250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46250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72558-2021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46250</v>
      </c>
      <c r="F48" t="inlineStr">
        <is>
          <t>ÖSTERGÖTLANDS LÄN</t>
        </is>
      </c>
      <c r="G48" t="inlineStr">
        <is>
          <t>MJÖLBY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46250</v>
      </c>
      <c r="F49" t="inlineStr">
        <is>
          <t>ÖSTERGÖTLANDS LÄN</t>
        </is>
      </c>
      <c r="G49" t="inlineStr">
        <is>
          <t>MJÖLBY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46250</v>
      </c>
      <c r="F50" t="inlineStr">
        <is>
          <t>ÖSTERGÖTLANDS LÄN</t>
        </is>
      </c>
      <c r="G50" t="inlineStr">
        <is>
          <t>MJÖLBY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66977-2021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46250</v>
      </c>
      <c r="F51" t="inlineStr">
        <is>
          <t>ÖSTERGÖTLANDS LÄN</t>
        </is>
      </c>
      <c r="G51" t="inlineStr">
        <is>
          <t>MJÖLBY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46250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46250</v>
      </c>
      <c r="F53" t="inlineStr">
        <is>
          <t>ÖSTERGÖTLANDS LÄN</t>
        </is>
      </c>
      <c r="G53" t="inlineStr">
        <is>
          <t>MJÖLBY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46250</v>
      </c>
      <c r="F54" t="inlineStr">
        <is>
          <t>ÖSTERGÖTLANDS LÄN</t>
        </is>
      </c>
      <c r="G54" t="inlineStr">
        <is>
          <t>MJÖLBY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46250</v>
      </c>
      <c r="F55" t="inlineStr">
        <is>
          <t>ÖSTERGÖTLANDS LÄN</t>
        </is>
      </c>
      <c r="G55" t="inlineStr">
        <is>
          <t>MJÖLBY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46250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46250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45924</v>
      </c>
      <c r="E58" s="1" t="n">
        <v>46250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45926</v>
      </c>
      <c r="E59" s="1" t="n">
        <v>46250</v>
      </c>
      <c r="F59" t="inlineStr">
        <is>
          <t>ÖSTERGÖTLANDS LÄN</t>
        </is>
      </c>
      <c r="G59" t="inlineStr">
        <is>
          <t>MJÖLBY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65921-2021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46250</v>
      </c>
      <c r="F60" t="inlineStr">
        <is>
          <t>ÖSTERGÖTLANDS LÄN</t>
        </is>
      </c>
      <c r="G60" t="inlineStr">
        <is>
          <t>MJÖLBY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11478-2024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45372</v>
      </c>
      <c r="E61" s="1" t="n">
        <v>46250</v>
      </c>
      <c r="F61" t="inlineStr">
        <is>
          <t>ÖSTERGÖTLANDS LÄN</t>
        </is>
      </c>
      <c r="G61" t="inlineStr">
        <is>
          <t>MJÖLBY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46250</v>
      </c>
      <c r="F62" t="inlineStr">
        <is>
          <t>ÖSTERGÖTLANDS LÄN</t>
        </is>
      </c>
      <c r="G62" t="inlineStr">
        <is>
          <t>MJÖLBY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46250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46250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46250</v>
      </c>
      <c r="F65" t="inlineStr">
        <is>
          <t>ÖSTERGÖTLANDS LÄN</t>
        </is>
      </c>
      <c r="G65" t="inlineStr">
        <is>
          <t>MJÖLBY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51326-2025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46250</v>
      </c>
      <c r="F66" t="inlineStr">
        <is>
          <t>ÖSTERGÖTLANDS LÄN</t>
        </is>
      </c>
      <c r="G66" t="inlineStr">
        <is>
          <t>MJÖLBY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46250</v>
      </c>
      <c r="F67" t="inlineStr">
        <is>
          <t>ÖSTERGÖTLANDS LÄN</t>
        </is>
      </c>
      <c r="G67" t="inlineStr">
        <is>
          <t>MJÖLBY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46250</v>
      </c>
      <c r="F68" t="inlineStr">
        <is>
          <t>ÖSTERGÖTLANDS LÄN</t>
        </is>
      </c>
      <c r="G68" t="inlineStr">
        <is>
          <t>MJÖLBY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46250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45567</v>
      </c>
      <c r="E70" s="1" t="n">
        <v>46250</v>
      </c>
      <c r="F70" t="inlineStr">
        <is>
          <t>ÖSTERGÖTLANDS LÄN</t>
        </is>
      </c>
      <c r="G70" t="inlineStr">
        <is>
          <t>MJÖLBY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46250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46250</v>
      </c>
      <c r="F72" t="inlineStr">
        <is>
          <t>ÖSTERGÖTLANDS LÄN</t>
        </is>
      </c>
      <c r="G72" t="inlineStr">
        <is>
          <t>MJÖLBY</t>
        </is>
      </c>
      <c r="H72" t="inlineStr">
        <is>
          <t>Kyrkan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46250</v>
      </c>
      <c r="F73" t="inlineStr">
        <is>
          <t>ÖSTERGÖTLANDS LÄN</t>
        </is>
      </c>
      <c r="G73" t="inlineStr">
        <is>
          <t>MJÖLBY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46250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52655-2023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45225</v>
      </c>
      <c r="E75" s="1" t="n">
        <v>46250</v>
      </c>
      <c r="F75" t="inlineStr">
        <is>
          <t>ÖSTERGÖTLANDS LÄN</t>
        </is>
      </c>
      <c r="G75" t="inlineStr">
        <is>
          <t>MJÖLBY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44936</v>
      </c>
      <c r="E76" s="1" t="n">
        <v>46250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46250</v>
      </c>
      <c r="F77" t="inlineStr">
        <is>
          <t>ÖSTERGÖTLANDS LÄN</t>
        </is>
      </c>
      <c r="G77" t="inlineStr">
        <is>
          <t>MJÖLBY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46104</v>
      </c>
      <c r="E78" s="1" t="n">
        <v>46250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46250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46250</v>
      </c>
      <c r="F80" t="inlineStr">
        <is>
          <t>ÖSTERGÖTLANDS LÄN</t>
        </is>
      </c>
      <c r="G80" t="inlineStr">
        <is>
          <t>MJÖLBY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44770-2025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45917</v>
      </c>
      <c r="E81" s="1" t="n">
        <v>46250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46250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46250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46108</v>
      </c>
      <c r="E84" s="1" t="n">
        <v>46250</v>
      </c>
      <c r="F84" t="inlineStr">
        <is>
          <t>ÖSTERGÖTLANDS LÄN</t>
        </is>
      </c>
      <c r="G84" t="inlineStr">
        <is>
          <t>MJÖLBY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16173-2026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46111</v>
      </c>
      <c r="E85" s="1" t="n">
        <v>46250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46250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46250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45525</v>
      </c>
      <c r="E88" s="1" t="n">
        <v>46250</v>
      </c>
      <c r="F88" t="inlineStr">
        <is>
          <t>ÖSTERGÖTLANDS LÄN</t>
        </is>
      </c>
      <c r="G88" t="inlineStr">
        <is>
          <t>MJÖLBY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46250</v>
      </c>
      <c r="F89" t="inlineStr">
        <is>
          <t>ÖSTERGÖTLANDS LÄN</t>
        </is>
      </c>
      <c r="G89" t="inlineStr">
        <is>
          <t>MJÖLBY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45666</v>
      </c>
      <c r="E90" s="1" t="n">
        <v>46250</v>
      </c>
      <c r="F90" t="inlineStr">
        <is>
          <t>ÖSTERGÖTLANDS LÄN</t>
        </is>
      </c>
      <c r="G90" t="inlineStr">
        <is>
          <t>MJÖLBY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46250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45401</v>
      </c>
      <c r="E92" s="1" t="n">
        <v>46250</v>
      </c>
      <c r="F92" t="inlineStr">
        <is>
          <t>ÖSTERGÖTLANDS LÄN</t>
        </is>
      </c>
      <c r="G92" t="inlineStr">
        <is>
          <t>MJÖLBY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46250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46250</v>
      </c>
      <c r="F94" t="inlineStr">
        <is>
          <t>ÖSTERGÖTLANDS LÄN</t>
        </is>
      </c>
      <c r="G94" t="inlineStr">
        <is>
          <t>MJÖLBY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45982</v>
      </c>
      <c r="E95" s="1" t="n">
        <v>46250</v>
      </c>
      <c r="F95" t="inlineStr">
        <is>
          <t>ÖSTERGÖTLANDS LÄN</t>
        </is>
      </c>
      <c r="G95" t="inlineStr">
        <is>
          <t>MJÖLBY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46250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46121</v>
      </c>
      <c r="E97" s="1" t="n">
        <v>46250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17700-2026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46121</v>
      </c>
      <c r="E98" s="1" t="n">
        <v>46250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46250</v>
      </c>
      <c r="F99" t="inlineStr">
        <is>
          <t>ÖSTERGÖTLANDS LÄN</t>
        </is>
      </c>
      <c r="G99" t="inlineStr">
        <is>
          <t>MJÖLBY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46250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46250</v>
      </c>
      <c r="F101" t="inlineStr">
        <is>
          <t>ÖSTERGÖTLANDS LÄN</t>
        </is>
      </c>
      <c r="G101" t="inlineStr">
        <is>
          <t>MJÖLBY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46250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46250</v>
      </c>
      <c r="F103" t="inlineStr">
        <is>
          <t>ÖSTERGÖTLANDS LÄN</t>
        </is>
      </c>
      <c r="G103" t="inlineStr">
        <is>
          <t>MJÖLBY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46250</v>
      </c>
      <c r="F104" t="inlineStr">
        <is>
          <t>ÖSTERGÖTLANDS LÄN</t>
        </is>
      </c>
      <c r="G104" t="inlineStr">
        <is>
          <t>MJÖLBY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46250</v>
      </c>
      <c r="F105" t="inlineStr">
        <is>
          <t>ÖSTERGÖTLANDS LÄN</t>
        </is>
      </c>
      <c r="G105" t="inlineStr">
        <is>
          <t>MJÖLBY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18517-2026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46250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46250</v>
      </c>
      <c r="F107" t="inlineStr">
        <is>
          <t>ÖSTERGÖTLANDS LÄN</t>
        </is>
      </c>
      <c r="G107" t="inlineStr">
        <is>
          <t>MJÖLBY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46250</v>
      </c>
      <c r="F108" t="inlineStr">
        <is>
          <t>ÖSTERGÖTLANDS LÄN</t>
        </is>
      </c>
      <c r="G108" t="inlineStr">
        <is>
          <t>MJÖLBY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44462</v>
      </c>
      <c r="E109" s="1" t="n">
        <v>46250</v>
      </c>
      <c r="F109" t="inlineStr">
        <is>
          <t>ÖSTERGÖTLANDS LÄN</t>
        </is>
      </c>
      <c r="G109" t="inlineStr">
        <is>
          <t>MJÖLBY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44580</v>
      </c>
      <c r="E110" s="1" t="n">
        <v>46250</v>
      </c>
      <c r="F110" t="inlineStr">
        <is>
          <t>ÖSTERGÖTLANDS LÄN</t>
        </is>
      </c>
      <c r="G110" t="inlineStr">
        <is>
          <t>MJÖLBY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46250</v>
      </c>
      <c r="F111" t="inlineStr">
        <is>
          <t>ÖSTERGÖTLANDS LÄN</t>
        </is>
      </c>
      <c r="G111" t="inlineStr">
        <is>
          <t>MJÖLBY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46250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45892</v>
      </c>
      <c r="E113" s="1" t="n">
        <v>46250</v>
      </c>
      <c r="F113" t="inlineStr">
        <is>
          <t>ÖSTERGÖTLANDS LÄN</t>
        </is>
      </c>
      <c r="G113" t="inlineStr">
        <is>
          <t>MJÖLBY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46250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Kyrkan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46250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45273</v>
      </c>
      <c r="E116" s="1" t="n">
        <v>46250</v>
      </c>
      <c r="F116" t="inlineStr">
        <is>
          <t>ÖSTERGÖTLANDS LÄN</t>
        </is>
      </c>
      <c r="G116" t="inlineStr">
        <is>
          <t>MJÖLBY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46250</v>
      </c>
      <c r="F117" t="inlineStr">
        <is>
          <t>ÖSTERGÖTLANDS LÄN</t>
        </is>
      </c>
      <c r="G117" t="inlineStr">
        <is>
          <t>MJÖLBY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46250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46250</v>
      </c>
      <c r="F119" t="inlineStr">
        <is>
          <t>ÖSTERGÖTLANDS LÄN</t>
        </is>
      </c>
      <c r="G119" t="inlineStr">
        <is>
          <t>MJÖLBY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46250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Allmännings- och besparingsskogar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46250</v>
      </c>
      <c r="F121" t="inlineStr">
        <is>
          <t>ÖSTERGÖTLANDS LÄN</t>
        </is>
      </c>
      <c r="G121" t="inlineStr">
        <is>
          <t>MJÖLBY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46250</v>
      </c>
      <c r="F122" t="inlineStr">
        <is>
          <t>ÖSTERGÖTLANDS LÄN</t>
        </is>
      </c>
      <c r="G122" t="inlineStr">
        <is>
          <t>MJÖLBY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46250</v>
      </c>
      <c r="F123" t="inlineStr">
        <is>
          <t>ÖSTERGÖTLANDS LÄN</t>
        </is>
      </c>
      <c r="G123" t="inlineStr">
        <is>
          <t>MJÖLBY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44971</v>
      </c>
      <c r="E124" s="1" t="n">
        <v>46250</v>
      </c>
      <c r="F124" t="inlineStr">
        <is>
          <t>ÖSTERGÖTLANDS LÄN</t>
        </is>
      </c>
      <c r="G124" t="inlineStr">
        <is>
          <t>MJÖLBY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4314-2024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45324</v>
      </c>
      <c r="E125" s="1" t="n">
        <v>46250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Kyrkan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46250</v>
      </c>
      <c r="F126" t="inlineStr">
        <is>
          <t>ÖSTERGÖTLANDS LÄN</t>
        </is>
      </c>
      <c r="G126" t="inlineStr">
        <is>
          <t>MJÖLBY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46250</v>
      </c>
      <c r="F127" t="inlineStr">
        <is>
          <t>ÖSTERGÖTLANDS LÄN</t>
        </is>
      </c>
      <c r="G127" t="inlineStr">
        <is>
          <t>MJÖLBY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46139</v>
      </c>
      <c r="E128" s="1" t="n">
        <v>46250</v>
      </c>
      <c r="F128" t="inlineStr">
        <is>
          <t>ÖSTERGÖTLANDS LÄN</t>
        </is>
      </c>
      <c r="G128" t="inlineStr">
        <is>
          <t>MJÖLBY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45176</v>
      </c>
      <c r="E129" s="1" t="n">
        <v>46250</v>
      </c>
      <c r="F129" t="inlineStr">
        <is>
          <t>ÖSTERGÖTLANDS LÄN</t>
        </is>
      </c>
      <c r="G129" t="inlineStr">
        <is>
          <t>MJÖLBY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46250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46250</v>
      </c>
      <c r="F131" t="inlineStr">
        <is>
          <t>ÖSTERGÖTLANDS LÄN</t>
        </is>
      </c>
      <c r="G131" t="inlineStr">
        <is>
          <t>MJÖLBY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46250</v>
      </c>
      <c r="F132" t="inlineStr">
        <is>
          <t>ÖSTERGÖTLANDS LÄN</t>
        </is>
      </c>
      <c r="G132" t="inlineStr">
        <is>
          <t>MJÖLBY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46250</v>
      </c>
      <c r="F133" t="inlineStr">
        <is>
          <t>ÖSTERGÖTLANDS LÄN</t>
        </is>
      </c>
      <c r="G133" t="inlineStr">
        <is>
          <t>MJÖLBY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46250</v>
      </c>
      <c r="F134" t="inlineStr">
        <is>
          <t>ÖSTERGÖTLANDS LÄN</t>
        </is>
      </c>
      <c r="G134" t="inlineStr">
        <is>
          <t>MJÖLBY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46250</v>
      </c>
      <c r="F135" t="inlineStr">
        <is>
          <t>ÖSTERGÖTLANDS LÄN</t>
        </is>
      </c>
      <c r="G135" t="inlineStr">
        <is>
          <t>MJÖLBY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45020</v>
      </c>
      <c r="E136" s="1" t="n">
        <v>46250</v>
      </c>
      <c r="F136" t="inlineStr">
        <is>
          <t>ÖSTERGÖTLANDS LÄN</t>
        </is>
      </c>
      <c r="G136" t="inlineStr">
        <is>
          <t>MJÖLBY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46250</v>
      </c>
      <c r="F137" t="inlineStr">
        <is>
          <t>ÖSTERGÖTLANDS LÄN</t>
        </is>
      </c>
      <c r="G137" t="inlineStr">
        <is>
          <t>MJÖLBY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46250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Kommuner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46250</v>
      </c>
      <c r="F139" t="inlineStr">
        <is>
          <t>ÖSTERGÖTLANDS LÄN</t>
        </is>
      </c>
      <c r="G139" t="inlineStr">
        <is>
          <t>MJÖLBY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46250</v>
      </c>
      <c r="F140" t="inlineStr">
        <is>
          <t>ÖSTERGÖTLANDS LÄN</t>
        </is>
      </c>
      <c r="G140" t="inlineStr">
        <is>
          <t>MJÖLBY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45177</v>
      </c>
      <c r="E141" s="1" t="n">
        <v>46250</v>
      </c>
      <c r="F141" t="inlineStr">
        <is>
          <t>ÖSTERGÖTLANDS LÄN</t>
        </is>
      </c>
      <c r="G141" t="inlineStr">
        <is>
          <t>MJÖLBY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46250</v>
      </c>
      <c r="F142" t="inlineStr">
        <is>
          <t>ÖSTERGÖTLANDS LÄN</t>
        </is>
      </c>
      <c r="G142" t="inlineStr">
        <is>
          <t>MJÖLBY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46250</v>
      </c>
      <c r="F143" t="inlineStr">
        <is>
          <t>ÖSTERGÖTLANDS LÄN</t>
        </is>
      </c>
      <c r="G143" t="inlineStr">
        <is>
          <t>MJÖLBY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46250</v>
      </c>
      <c r="F144" t="inlineStr">
        <is>
          <t>ÖSTERGÖTLANDS LÄN</t>
        </is>
      </c>
      <c r="G144" t="inlineStr">
        <is>
          <t>MJÖLBY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46250</v>
      </c>
      <c r="F145" t="inlineStr">
        <is>
          <t>ÖSTERGÖTLANDS LÄN</t>
        </is>
      </c>
      <c r="G145" t="inlineStr">
        <is>
          <t>MJÖLBY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46250</v>
      </c>
      <c r="F146" t="inlineStr">
        <is>
          <t>ÖSTERGÖTLANDS LÄN</t>
        </is>
      </c>
      <c r="G146" t="inlineStr">
        <is>
          <t>MJÖLBY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46250</v>
      </c>
      <c r="F147" t="inlineStr">
        <is>
          <t>ÖSTERGÖTLANDS LÄN</t>
        </is>
      </c>
      <c r="G147" t="inlineStr">
        <is>
          <t>MJÖLBY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44980</v>
      </c>
      <c r="E148" s="1" t="n">
        <v>46250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Kyrkan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44903</v>
      </c>
      <c r="E149" s="1" t="n">
        <v>46250</v>
      </c>
      <c r="F149" t="inlineStr">
        <is>
          <t>ÖSTERGÖTLANDS LÄN</t>
        </is>
      </c>
      <c r="G149" t="inlineStr">
        <is>
          <t>MJÖLBY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46250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46250</v>
      </c>
      <c r="F151" t="inlineStr">
        <is>
          <t>ÖSTERGÖTLANDS LÄN</t>
        </is>
      </c>
      <c r="G151" t="inlineStr">
        <is>
          <t>MJÖLBY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46250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45407</v>
      </c>
      <c r="E153" s="1" t="n">
        <v>46250</v>
      </c>
      <c r="F153" t="inlineStr">
        <is>
          <t>ÖSTERGÖTLANDS LÄN</t>
        </is>
      </c>
      <c r="G153" t="inlineStr">
        <is>
          <t>MJÖLBY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59411-2022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44907</v>
      </c>
      <c r="E154" s="1" t="n">
        <v>46250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46250</v>
      </c>
      <c r="F155" t="inlineStr">
        <is>
          <t>ÖSTERGÖTLANDS LÄN</t>
        </is>
      </c>
      <c r="G155" t="inlineStr">
        <is>
          <t>MJÖLBY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46250</v>
      </c>
      <c r="F156" t="inlineStr">
        <is>
          <t>ÖSTERGÖTLANDS LÄN</t>
        </is>
      </c>
      <c r="G156" t="inlineStr">
        <is>
          <t>MJÖLBY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46250</v>
      </c>
      <c r="F157" t="inlineStr">
        <is>
          <t>ÖSTERGÖTLANDS LÄN</t>
        </is>
      </c>
      <c r="G157" t="inlineStr">
        <is>
          <t>MJÖLBY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46250</v>
      </c>
      <c r="F158" t="inlineStr">
        <is>
          <t>ÖSTERGÖTLANDS LÄN</t>
        </is>
      </c>
      <c r="G158" t="inlineStr">
        <is>
          <t>MJÖLBY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59410-2022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44907</v>
      </c>
      <c r="E159" s="1" t="n">
        <v>46250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46250</v>
      </c>
      <c r="F160" t="inlineStr">
        <is>
          <t>ÖSTERGÖTLANDS LÄN</t>
        </is>
      </c>
      <c r="G160" t="inlineStr">
        <is>
          <t>MJÖLBY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45293</v>
      </c>
      <c r="E161" s="1" t="n">
        <v>46250</v>
      </c>
      <c r="F161" t="inlineStr">
        <is>
          <t>ÖSTERGÖTLANDS LÄN</t>
        </is>
      </c>
      <c r="G161" t="inlineStr">
        <is>
          <t>MJÖLBY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45301</v>
      </c>
      <c r="E162" s="1" t="n">
        <v>46250</v>
      </c>
      <c r="F162" t="inlineStr">
        <is>
          <t>ÖSTERGÖTLANDS LÄN</t>
        </is>
      </c>
      <c r="G162" t="inlineStr">
        <is>
          <t>MJÖLBY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46250</v>
      </c>
      <c r="F163" t="inlineStr">
        <is>
          <t>ÖSTERGÖTLANDS LÄN</t>
        </is>
      </c>
      <c r="G163" t="inlineStr">
        <is>
          <t>MJÖLBY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45269</v>
      </c>
      <c r="E164" s="1" t="n">
        <v>46250</v>
      </c>
      <c r="F164" t="inlineStr">
        <is>
          <t>ÖSTERGÖTLANDS LÄN</t>
        </is>
      </c>
      <c r="G164" t="inlineStr">
        <is>
          <t>MJÖLBY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46250</v>
      </c>
      <c r="F165" t="inlineStr">
        <is>
          <t>ÖSTERGÖTLANDS LÄN</t>
        </is>
      </c>
      <c r="G165" t="inlineStr">
        <is>
          <t>MJÖLBY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46250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46250</v>
      </c>
      <c r="F167" t="inlineStr">
        <is>
          <t>ÖSTERGÖTLANDS LÄN</t>
        </is>
      </c>
      <c r="G167" t="inlineStr">
        <is>
          <t>MJÖLBY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46250</v>
      </c>
      <c r="F168" t="inlineStr">
        <is>
          <t>ÖSTERGÖTLANDS LÄN</t>
        </is>
      </c>
      <c r="G168" t="inlineStr">
        <is>
          <t>MJÖLBY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38278-2024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45545</v>
      </c>
      <c r="E169" s="1" t="n">
        <v>46250</v>
      </c>
      <c r="F169" t="inlineStr">
        <is>
          <t>ÖSTERGÖTLANDS LÄN</t>
        </is>
      </c>
      <c r="G169" t="inlineStr">
        <is>
          <t>MJÖLBY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46250</v>
      </c>
      <c r="F170" t="inlineStr">
        <is>
          <t>ÖSTERGÖTLANDS LÄN</t>
        </is>
      </c>
      <c r="G170" t="inlineStr">
        <is>
          <t>MJÖLBY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46250</v>
      </c>
      <c r="F171" t="inlineStr">
        <is>
          <t>ÖSTERGÖTLANDS LÄN</t>
        </is>
      </c>
      <c r="G171" t="inlineStr">
        <is>
          <t>MJÖLBY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45666</v>
      </c>
      <c r="E172" s="1" t="n">
        <v>46250</v>
      </c>
      <c r="F172" t="inlineStr">
        <is>
          <t>ÖSTERGÖTLANDS LÄN</t>
        </is>
      </c>
      <c r="G172" t="inlineStr">
        <is>
          <t>MJÖLBY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46250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45526</v>
      </c>
      <c r="E174" s="1" t="n">
        <v>46250</v>
      </c>
      <c r="F174" t="inlineStr">
        <is>
          <t>ÖSTERGÖTLANDS LÄN</t>
        </is>
      </c>
      <c r="G174" t="inlineStr">
        <is>
          <t>MJÖLBY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46250</v>
      </c>
      <c r="F175" t="inlineStr">
        <is>
          <t>ÖSTERGÖTLANDS LÄN</t>
        </is>
      </c>
      <c r="G175" t="inlineStr">
        <is>
          <t>MJÖLBY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46250</v>
      </c>
      <c r="F176" t="inlineStr">
        <is>
          <t>ÖSTERGÖTLANDS LÄN</t>
        </is>
      </c>
      <c r="G176" t="inlineStr">
        <is>
          <t>MJÖLBY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46250</v>
      </c>
      <c r="F177" t="inlineStr">
        <is>
          <t>ÖSTERGÖTLANDS LÄN</t>
        </is>
      </c>
      <c r="G177" t="inlineStr">
        <is>
          <t>MJÖLBY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46216</v>
      </c>
      <c r="E178" s="1" t="n">
        <v>46250</v>
      </c>
      <c r="F178" t="inlineStr">
        <is>
          <t>ÖSTERGÖTLANDS LÄN</t>
        </is>
      </c>
      <c r="G178" t="inlineStr">
        <is>
          <t>MJÖLBY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46250</v>
      </c>
      <c r="F179" t="inlineStr">
        <is>
          <t>ÖSTERGÖTLANDS LÄN</t>
        </is>
      </c>
      <c r="G179" t="inlineStr">
        <is>
          <t>MJÖLBY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46250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46250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24903-2026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46174</v>
      </c>
      <c r="E182" s="1" t="n">
        <v>46250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46217</v>
      </c>
      <c r="E183" s="1" t="n">
        <v>46250</v>
      </c>
      <c r="F183" t="inlineStr">
        <is>
          <t>ÖSTERGÖTLANDS LÄN</t>
        </is>
      </c>
      <c r="G183" t="inlineStr">
        <is>
          <t>MJÖLBY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46250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46250</v>
      </c>
      <c r="F185" t="inlineStr">
        <is>
          <t>ÖSTERGÖTLANDS LÄN</t>
        </is>
      </c>
      <c r="G185" t="inlineStr">
        <is>
          <t>MJÖLBY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46250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46250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46250</v>
      </c>
      <c r="F188" t="inlineStr">
        <is>
          <t>ÖSTERGÖTLANDS LÄN</t>
        </is>
      </c>
      <c r="G188" t="inlineStr">
        <is>
          <t>MJÖLBY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46250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46250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46250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68095-2021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44526</v>
      </c>
      <c r="E192" s="1" t="n">
        <v>46250</v>
      </c>
      <c r="F192" t="inlineStr">
        <is>
          <t>ÖSTERGÖTLANDS LÄN</t>
        </is>
      </c>
      <c r="G192" t="inlineStr">
        <is>
          <t>MJÖLBY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18740-2025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46250</v>
      </c>
      <c r="F193" t="inlineStr">
        <is>
          <t>ÖSTERGÖTLANDS LÄN</t>
        </is>
      </c>
      <c r="G193" t="inlineStr">
        <is>
          <t>MJÖLBY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46250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46250</v>
      </c>
      <c r="F195" t="inlineStr">
        <is>
          <t>ÖSTERGÖTLANDS LÄN</t>
        </is>
      </c>
      <c r="G195" t="inlineStr">
        <is>
          <t>MJÖLBY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46250</v>
      </c>
      <c r="F196" t="inlineStr">
        <is>
          <t>ÖSTERGÖTLANDS LÄN</t>
        </is>
      </c>
      <c r="G196" t="inlineStr">
        <is>
          <t>MJÖLBY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45812</v>
      </c>
      <c r="E197" s="1" t="n">
        <v>46250</v>
      </c>
      <c r="F197" t="inlineStr">
        <is>
          <t>ÖSTERGÖTLANDS LÄN</t>
        </is>
      </c>
      <c r="G197" t="inlineStr">
        <is>
          <t>MJÖLBY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46250</v>
      </c>
      <c r="F198" t="inlineStr">
        <is>
          <t>ÖSTERGÖTLANDS LÄN</t>
        </is>
      </c>
      <c r="G198" t="inlineStr">
        <is>
          <t>MJÖLBY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46250</v>
      </c>
      <c r="F199" t="inlineStr">
        <is>
          <t>ÖSTERGÖTLANDS LÄN</t>
        </is>
      </c>
      <c r="G199" t="inlineStr">
        <is>
          <t>MJÖLBY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45677</v>
      </c>
      <c r="E200" s="1" t="n">
        <v>46250</v>
      </c>
      <c r="F200" t="inlineStr">
        <is>
          <t>ÖSTERGÖTLANDS LÄN</t>
        </is>
      </c>
      <c r="G200" t="inlineStr">
        <is>
          <t>MJÖLBY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46250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44613</v>
      </c>
      <c r="E202" s="1" t="n">
        <v>46250</v>
      </c>
      <c r="F202" t="inlineStr">
        <is>
          <t>ÖSTERGÖTLANDS LÄN</t>
        </is>
      </c>
      <c r="G202" t="inlineStr">
        <is>
          <t>MJÖLBY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45674</v>
      </c>
      <c r="E203" s="1" t="n">
        <v>46250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27126-2026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46188</v>
      </c>
      <c r="E204" s="1" t="n">
        <v>46250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45673</v>
      </c>
      <c r="E205" s="1" t="n">
        <v>46250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46250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46250</v>
      </c>
      <c r="F207" t="inlineStr">
        <is>
          <t>ÖSTERGÖTLANDS LÄN</t>
        </is>
      </c>
      <c r="G207" t="inlineStr">
        <is>
          <t>MJÖLBY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46250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45793</v>
      </c>
      <c r="E209" s="1" t="n">
        <v>46250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46250</v>
      </c>
      <c r="F210" t="inlineStr">
        <is>
          <t>ÖSTERGÖTLANDS LÄN</t>
        </is>
      </c>
      <c r="G210" t="inlineStr">
        <is>
          <t>MJÖLBY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46250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46250</v>
      </c>
      <c r="F212" t="inlineStr">
        <is>
          <t>ÖSTERGÖTLANDS LÄN</t>
        </is>
      </c>
      <c r="G212" t="inlineStr">
        <is>
          <t>MJÖLBY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46250</v>
      </c>
      <c r="F213" t="inlineStr">
        <is>
          <t>ÖSTERGÖTLANDS LÄN</t>
        </is>
      </c>
      <c r="G213" t="inlineStr">
        <is>
          <t>MJÖLBY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46237</v>
      </c>
      <c r="E214" s="1" t="n">
        <v>46250</v>
      </c>
      <c r="F214" t="inlineStr">
        <is>
          <t>ÖSTERGÖTLANDS LÄN</t>
        </is>
      </c>
      <c r="G214" t="inlineStr">
        <is>
          <t>MJÖLBY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46250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46239</v>
      </c>
      <c r="E216" s="1" t="n">
        <v>46250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46250</v>
      </c>
      <c r="F217" t="inlineStr">
        <is>
          <t>ÖSTERGÖTLANDS LÄN</t>
        </is>
      </c>
      <c r="G217" t="inlineStr">
        <is>
          <t>MJÖLBY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46239</v>
      </c>
      <c r="E218" s="1" t="n">
        <v>46250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Övriga Aktiebolag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46250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37806-2022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44810</v>
      </c>
      <c r="E220" s="1" t="n">
        <v>46250</v>
      </c>
      <c r="F220" t="inlineStr">
        <is>
          <t>ÖSTERGÖTLANDS LÄN</t>
        </is>
      </c>
      <c r="G220" t="inlineStr">
        <is>
          <t>MJÖLBY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46250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44810</v>
      </c>
      <c r="E222" s="1" t="n">
        <v>46250</v>
      </c>
      <c r="F222" t="inlineStr">
        <is>
          <t>ÖSTERGÖTLANDS LÄN</t>
        </is>
      </c>
      <c r="G222" t="inlineStr">
        <is>
          <t>MJÖLBY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46244</v>
      </c>
      <c r="E223" s="1" t="n">
        <v>46250</v>
      </c>
      <c r="F223" t="inlineStr">
        <is>
          <t>ÖSTERGÖTLANDS LÄN</t>
        </is>
      </c>
      <c r="G223" t="inlineStr">
        <is>
          <t>MJÖLBY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46250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1827-2026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46197</v>
      </c>
      <c r="E225" s="1" t="n">
        <v>46250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2026-08-16T01:41:57Z</dcterms:created>
  <dcterms:modified xmlns:dcterms="http://purl.org/dc/terms/" xmlns:xsi="http://www.w3.org/2001/XMLSchema-instance" xsi:type="dcterms:W3CDTF">2026-08-16T01:41:58Z</dcterms:modified>
</cp:coreProperties>
</file>