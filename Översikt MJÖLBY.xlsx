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Y4">
        <f>HYPERLINK("https://klasma.github.io/Logging_0586/klagomål/A 31169-2026 FSC-klagomål.docx", "A 31169-2026")</f>
        <v/>
      </c>
      <c r="Z4">
        <f>HYPERLINK("https://klasma.github.io/Logging_0586/klagomålsmail/A 31169-2026 FSC-klagomål mail.docx", "A 31169-2026")</f>
        <v/>
      </c>
      <c r="AA4">
        <f>HYPERLINK("https://klasma.github.io/Logging_0586/tillsyn/A 31169-2026 tillsynsbegäran.docx", "A 31169-2026")</f>
        <v/>
      </c>
      <c r="AB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Y5">
        <f>HYPERLINK("https://klasma.github.io/Logging_0586/klagomål/A 23130-2025 FSC-klagomål.docx", "A 23130-2025")</f>
        <v/>
      </c>
      <c r="Z5">
        <f>HYPERLINK("https://klasma.github.io/Logging_0586/klagomålsmail/A 23130-2025 FSC-klagomål mail.docx", "A 23130-2025")</f>
        <v/>
      </c>
      <c r="AA5">
        <f>HYPERLINK("https://klasma.github.io/Logging_0586/tillsyn/A 23130-2025 tillsynsbegäran.docx", "A 23130-2025")</f>
        <v/>
      </c>
      <c r="AB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46221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Ängshök</t>
        </is>
      </c>
      <c r="V7">
        <f>HYPERLINK("https://klasma.github.io/Logging_0586/artfynd/A 54444-2021 artfynd.xlsx", "A 54444-2021")</f>
        <v/>
      </c>
      <c r="W7">
        <f>HYPERLINK("https://klasma.github.io/Logging_0586/kartor/A 54444-2021 karta.png", "A 54444-2021")</f>
        <v/>
      </c>
      <c r="Y7">
        <f>HYPERLINK("https://klasma.github.io/Logging_0586/klagomål/A 54444-2021 FSC-klagomål.docx", "A 54444-2021")</f>
        <v/>
      </c>
      <c r="Z7">
        <f>HYPERLINK("https://klasma.github.io/Logging_0586/klagomålsmail/A 54444-2021 FSC-klagomål mail.docx", "A 54444-2021")</f>
        <v/>
      </c>
      <c r="AA7">
        <f>HYPERLINK("https://klasma.github.io/Logging_0586/tillsyn/A 54444-2021 tillsynsbegäran.docx", "A 54444-2021")</f>
        <v/>
      </c>
      <c r="AB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46221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s="2" t="inlineStr">
        <is>
          <t>Solvända</t>
        </is>
      </c>
      <c r="V8">
        <f>HYPERLINK("https://klasma.github.io/Logging_0586/artfynd/A 7564-2025 artfynd.xlsx", "A 7564-2025")</f>
        <v/>
      </c>
      <c r="W8">
        <f>HYPERLINK("https://klasma.github.io/Logging_0586/kartor/A 7564-2025 karta.png", "A 7564-2025")</f>
        <v/>
      </c>
      <c r="Y8">
        <f>HYPERLINK("https://klasma.github.io/Logging_0586/klagomål/A 7564-2025 FSC-klagomål.docx", "A 7564-2025")</f>
        <v/>
      </c>
      <c r="Z8">
        <f>HYPERLINK("https://klasma.github.io/Logging_0586/klagomålsmail/A 7564-2025 FSC-klagomål mail.docx", "A 7564-2025")</f>
        <v/>
      </c>
      <c r="AA8">
        <f>HYPERLINK("https://klasma.github.io/Logging_0586/tillsyn/A 7564-2025 tillsynsbegäran.docx", "A 7564-2025")</f>
        <v/>
      </c>
      <c r="AB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46221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HYPERLINK("https://klasma.github.io/Logging_0586/artfynd/A 41274-2025 artfynd.xlsx", "A 41274-2025")</f>
        <v/>
      </c>
      <c r="W9">
        <f>HYPERLINK("https://klasma.github.io/Logging_0586/kartor/A 41274-2025 karta.png", "A 41274-2025")</f>
        <v/>
      </c>
      <c r="Y9">
        <f>HYPERLINK("https://klasma.github.io/Logging_0586/klagomål/A 41274-2025 FSC-klagomål.docx", "A 41274-2025")</f>
        <v/>
      </c>
      <c r="Z9">
        <f>HYPERLINK("https://klasma.github.io/Logging_0586/klagomålsmail/A 41274-2025 FSC-klagomål mail.docx", "A 41274-2025")</f>
        <v/>
      </c>
      <c r="AA9">
        <f>HYPERLINK("https://klasma.github.io/Logging_0586/tillsyn/A 41274-2025 tillsynsbegäran.docx", "A 41274-2025")</f>
        <v/>
      </c>
      <c r="AB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46221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Tvåblad</t>
        </is>
      </c>
      <c r="V10">
        <f>HYPERLINK("https://klasma.github.io/Logging_0586/artfynd/A 46156-2025 artfynd.xlsx", "A 46156-2025")</f>
        <v/>
      </c>
      <c r="W10">
        <f>HYPERLINK("https://klasma.github.io/Logging_0586/kartor/A 46156-2025 karta.png", "A 46156-2025")</f>
        <v/>
      </c>
      <c r="Y10">
        <f>HYPERLINK("https://klasma.github.io/Logging_0586/klagomål/A 46156-2025 FSC-klagomål.docx", "A 46156-2025")</f>
        <v/>
      </c>
      <c r="Z10">
        <f>HYPERLINK("https://klasma.github.io/Logging_0586/klagomålsmail/A 46156-2025 FSC-klagomål mail.docx", "A 46156-2025")</f>
        <v/>
      </c>
      <c r="AA10">
        <f>HYPERLINK("https://klasma.github.io/Logging_0586/tillsyn/A 46156-2025 tillsynsbegäran.docx", "A 46156-2025")</f>
        <v/>
      </c>
      <c r="AB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46221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HYPERLINK("https://klasma.github.io/Logging_0586/artfynd/A 46123-2025 artfynd.xlsx", "A 46123-2025")</f>
        <v/>
      </c>
      <c r="W11">
        <f>HYPERLINK("https://klasma.github.io/Logging_0586/kartor/A 46123-2025 karta.png", "A 46123-2025")</f>
        <v/>
      </c>
      <c r="X11">
        <f>HYPERLINK("https://klasma.github.io/Logging_0586/knärot/A 46123-2025 karta knärot.png", "A 46123-2025")</f>
        <v/>
      </c>
      <c r="Y11">
        <f>HYPERLINK("https://klasma.github.io/Logging_0586/klagomål/A 46123-2025 FSC-klagomål.docx", "A 46123-2025")</f>
        <v/>
      </c>
      <c r="Z11">
        <f>HYPERLINK("https://klasma.github.io/Logging_0586/klagomålsmail/A 46123-2025 FSC-klagomål mail.docx", "A 46123-2025")</f>
        <v/>
      </c>
      <c r="AA11">
        <f>HYPERLINK("https://klasma.github.io/Logging_0586/tillsyn/A 46123-2025 tillsynsbegäran.docx", "A 46123-2025")</f>
        <v/>
      </c>
      <c r="AB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46221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Tibast</t>
        </is>
      </c>
      <c r="V12">
        <f>HYPERLINK("https://klasma.github.io/Logging_0586/artfynd/A 46522-2025 artfynd.xlsx", "A 46522-2025")</f>
        <v/>
      </c>
      <c r="W12">
        <f>HYPERLINK("https://klasma.github.io/Logging_0586/kartor/A 46522-2025 karta.png", "A 46522-2025")</f>
        <v/>
      </c>
      <c r="Y12">
        <f>HYPERLINK("https://klasma.github.io/Logging_0586/klagomål/A 46522-2025 FSC-klagomål.docx", "A 46522-2025")</f>
        <v/>
      </c>
      <c r="Z12">
        <f>HYPERLINK("https://klasma.github.io/Logging_0586/klagomålsmail/A 46522-2025 FSC-klagomål mail.docx", "A 46522-2025")</f>
        <v/>
      </c>
      <c r="AA12">
        <f>HYPERLINK("https://klasma.github.io/Logging_0586/tillsyn/A 46522-2025 tillsynsbegäran.docx", "A 46522-2025")</f>
        <v/>
      </c>
      <c r="AB12">
        <f>HYPERLINK("https://klasma.github.io/Logging_0586/tillsynsmail/A 46522-2025 tillsynsbegäran mail.docx", "A 46522-2025")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46221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HYPERLINK("https://klasma.github.io/Logging_0586/artfynd/A 44468-2021 artfynd.xlsx", "A 44468-2021")</f>
        <v/>
      </c>
      <c r="W13">
        <f>HYPERLINK("https://klasma.github.io/Logging_0586/kartor/A 44468-2021 karta.png", "A 44468-2021")</f>
        <v/>
      </c>
      <c r="Y13">
        <f>HYPERLINK("https://klasma.github.io/Logging_0586/klagomål/A 44468-2021 FSC-klagomål.docx", "A 44468-2021")</f>
        <v/>
      </c>
      <c r="Z13">
        <f>HYPERLINK("https://klasma.github.io/Logging_0586/klagomålsmail/A 44468-2021 FSC-klagomål mail.docx", "A 44468-2021")</f>
        <v/>
      </c>
      <c r="AA13">
        <f>HYPERLINK("https://klasma.github.io/Logging_0586/tillsyn/A 44468-2021 tillsynsbegäran.docx", "A 44468-2021")</f>
        <v/>
      </c>
      <c r="AB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46221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Springkorn</t>
        </is>
      </c>
      <c r="V14">
        <f>HYPERLINK("https://klasma.github.io/Logging_0586/artfynd/A 50403-2022 artfynd.xlsx", "A 50403-2022")</f>
        <v/>
      </c>
      <c r="W14">
        <f>HYPERLINK("https://klasma.github.io/Logging_0586/kartor/A 50403-2022 karta.png", "A 50403-2022")</f>
        <v/>
      </c>
      <c r="Y14">
        <f>HYPERLINK("https://klasma.github.io/Logging_0586/klagomål/A 50403-2022 FSC-klagomål.docx", "A 50403-2022")</f>
        <v/>
      </c>
      <c r="Z14">
        <f>HYPERLINK("https://klasma.github.io/Logging_0586/klagomålsmail/A 50403-2022 FSC-klagomål mail.docx", "A 50403-2022")</f>
        <v/>
      </c>
      <c r="AA14">
        <f>HYPERLINK("https://klasma.github.io/Logging_0586/tillsyn/A 50403-2022 tillsynsbegäran.docx", "A 50403-2022")</f>
        <v/>
      </c>
      <c r="AB14">
        <f>HYPERLINK("https://klasma.github.io/Logging_0586/tillsynsmail/A 50403-2022 tillsynsbegäran mail.docx", "A 50403-2022")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46221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Tibast</t>
        </is>
      </c>
      <c r="V15">
        <f>HYPERLINK("https://klasma.github.io/Logging_0586/artfynd/A 62852-2025 artfynd.xlsx", "A 62852-2025")</f>
        <v/>
      </c>
      <c r="W15">
        <f>HYPERLINK("https://klasma.github.io/Logging_0586/kartor/A 62852-2025 karta.png", "A 62852-2025")</f>
        <v/>
      </c>
      <c r="Y15">
        <f>HYPERLINK("https://klasma.github.io/Logging_0586/klagomål/A 62852-2025 FSC-klagomål.docx", "A 62852-2025")</f>
        <v/>
      </c>
      <c r="Z15">
        <f>HYPERLINK("https://klasma.github.io/Logging_0586/klagomålsmail/A 62852-2025 FSC-klagomål mail.docx", "A 62852-2025")</f>
        <v/>
      </c>
      <c r="AA15">
        <f>HYPERLINK("https://klasma.github.io/Logging_0586/tillsyn/A 62852-2025 tillsynsbegäran.docx", "A 62852-2025")</f>
        <v/>
      </c>
      <c r="AB15">
        <f>HYPERLINK("https://klasma.github.io/Logging_0586/tillsynsmail/A 62852-2025 tillsynsbegäran mail.docx", "A 62852-2025")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46221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Vårstarr</t>
        </is>
      </c>
      <c r="V16">
        <f>HYPERLINK("https://klasma.github.io/Logging_0586/artfynd/A 51642-2021 artfynd.xlsx", "A 51642-2021")</f>
        <v/>
      </c>
      <c r="W16">
        <f>HYPERLINK("https://klasma.github.io/Logging_0586/kartor/A 51642-2021 karta.png", "A 51642-2021")</f>
        <v/>
      </c>
      <c r="Y16">
        <f>HYPERLINK("https://klasma.github.io/Logging_0586/klagomål/A 51642-2021 FSC-klagomål.docx", "A 51642-2021")</f>
        <v/>
      </c>
      <c r="Z16">
        <f>HYPERLINK("https://klasma.github.io/Logging_0586/klagomålsmail/A 51642-2021 FSC-klagomål mail.docx", "A 51642-2021")</f>
        <v/>
      </c>
      <c r="AA16">
        <f>HYPERLINK("https://klasma.github.io/Logging_0586/tillsyn/A 51642-2021 tillsynsbegäran.docx", "A 51642-2021")</f>
        <v/>
      </c>
      <c r="AB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46221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Vårstarr</t>
        </is>
      </c>
      <c r="V17">
        <f>HYPERLINK("https://klasma.github.io/Logging_0586/artfynd/A 51642-2021 artfynd.xlsx", "A 51642-2021")</f>
        <v/>
      </c>
      <c r="W17">
        <f>HYPERLINK("https://klasma.github.io/Logging_0586/kartor/A 51642-2021 karta.png", "A 51642-2021")</f>
        <v/>
      </c>
      <c r="Y17">
        <f>HYPERLINK("https://klasma.github.io/Logging_0586/klagomål/A 51642-2021 FSC-klagomål.docx", "A 51642-2021")</f>
        <v/>
      </c>
      <c r="Z17">
        <f>HYPERLINK("https://klasma.github.io/Logging_0586/klagomålsmail/A 51642-2021 FSC-klagomål mail.docx", "A 51642-2021")</f>
        <v/>
      </c>
      <c r="AA17">
        <f>HYPERLINK("https://klasma.github.io/Logging_0586/tillsyn/A 51642-2021 tillsynsbegäran.docx", "A 51642-2021")</f>
        <v/>
      </c>
      <c r="AB17">
        <f>HYPERLINK("https://klasma.github.io/Logging_0586/tillsynsmail/A 51642-2021 tillsynsbegäran mail.docx", "A 51642-2021")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46221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HYPERLINK("https://klasma.github.io/Logging_0586/artfynd/A 9030-2022 artfynd.xlsx", "A 9030-2022")</f>
        <v/>
      </c>
      <c r="W18">
        <f>HYPERLINK("https://klasma.github.io/Logging_0586/kartor/A 9030-2022 karta.png", "A 9030-2022")</f>
        <v/>
      </c>
      <c r="Y18">
        <f>HYPERLINK("https://klasma.github.io/Logging_0586/klagomål/A 9030-2022 FSC-klagomål.docx", "A 9030-2022")</f>
        <v/>
      </c>
      <c r="Z18">
        <f>HYPERLINK("https://klasma.github.io/Logging_0586/klagomålsmail/A 9030-2022 FSC-klagomål mail.docx", "A 9030-2022")</f>
        <v/>
      </c>
      <c r="AA18">
        <f>HYPERLINK("https://klasma.github.io/Logging_0586/tillsyn/A 9030-2022 tillsynsbegäran.docx", "A 9030-2022")</f>
        <v/>
      </c>
      <c r="AB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46221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Skogsduva</t>
        </is>
      </c>
      <c r="V19">
        <f>HYPERLINK("https://klasma.github.io/Logging_0586/artfynd/A 45164-2023 artfynd.xlsx", "A 45164-2023")</f>
        <v/>
      </c>
      <c r="W19">
        <f>HYPERLINK("https://klasma.github.io/Logging_0586/kartor/A 45164-2023 karta.png", "A 45164-2023")</f>
        <v/>
      </c>
      <c r="Y19">
        <f>HYPERLINK("https://klasma.github.io/Logging_0586/klagomål/A 45164-2023 FSC-klagomål.docx", "A 45164-2023")</f>
        <v/>
      </c>
      <c r="Z19">
        <f>HYPERLINK("https://klasma.github.io/Logging_0586/klagomålsmail/A 45164-2023 FSC-klagomål mail.docx", "A 45164-2023")</f>
        <v/>
      </c>
      <c r="AA19">
        <f>HYPERLINK("https://klasma.github.io/Logging_0586/tillsyn/A 45164-2023 tillsynsbegäran.docx", "A 45164-2023")</f>
        <v/>
      </c>
      <c r="AB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46221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Klubbsprötad bastardsvärmare</t>
        </is>
      </c>
      <c r="V20">
        <f>HYPERLINK("https://klasma.github.io/Logging_0586/artfynd/A 13567-2025 artfynd.xlsx", "A 13567-2025")</f>
        <v/>
      </c>
      <c r="W20">
        <f>HYPERLINK("https://klasma.github.io/Logging_0586/kartor/A 13567-2025 karta.png", "A 13567-2025")</f>
        <v/>
      </c>
      <c r="Y20">
        <f>HYPERLINK("https://klasma.github.io/Logging_0586/klagomål/A 13567-2025 FSC-klagomål.docx", "A 13567-2025")</f>
        <v/>
      </c>
      <c r="Z20">
        <f>HYPERLINK("https://klasma.github.io/Logging_0586/klagomålsmail/A 13567-2025 FSC-klagomål mail.docx", "A 13567-2025")</f>
        <v/>
      </c>
      <c r="AA20">
        <f>HYPERLINK("https://klasma.github.io/Logging_0586/tillsyn/A 13567-2025 tillsynsbegäran.docx", "A 13567-2025")</f>
        <v/>
      </c>
      <c r="AB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46221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HYPERLINK("https://klasma.github.io/Logging_0586/artfynd/A 22327-2024 artfynd.xlsx", "A 22327-2024")</f>
        <v/>
      </c>
      <c r="W21">
        <f>HYPERLINK("https://klasma.github.io/Logging_0586/kartor/A 22327-2024 karta.png", "A 22327-2024")</f>
        <v/>
      </c>
      <c r="Y21">
        <f>HYPERLINK("https://klasma.github.io/Logging_0586/klagomål/A 22327-2024 FSC-klagomål.docx", "A 22327-2024")</f>
        <v/>
      </c>
      <c r="Z21">
        <f>HYPERLINK("https://klasma.github.io/Logging_0586/klagomålsmail/A 22327-2024 FSC-klagomål mail.docx", "A 22327-2024")</f>
        <v/>
      </c>
      <c r="AA21">
        <f>HYPERLINK("https://klasma.github.io/Logging_0586/tillsyn/A 22327-2024 tillsynsbegäran.docx", "A 22327-2024")</f>
        <v/>
      </c>
      <c r="AB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46221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Backsippa</t>
        </is>
      </c>
      <c r="V22">
        <f>HYPERLINK("https://klasma.github.io/Logging_0586/artfynd/A 33532-2024 artfynd.xlsx", "A 33532-2024")</f>
        <v/>
      </c>
      <c r="W22">
        <f>HYPERLINK("https://klasma.github.io/Logging_0586/kartor/A 33532-2024 karta.png", "A 33532-2024")</f>
        <v/>
      </c>
      <c r="Y22">
        <f>HYPERLINK("https://klasma.github.io/Logging_0586/klagomål/A 33532-2024 FSC-klagomål.docx", "A 33532-2024")</f>
        <v/>
      </c>
      <c r="Z22">
        <f>HYPERLINK("https://klasma.github.io/Logging_0586/klagomålsmail/A 33532-2024 FSC-klagomål mail.docx", "A 33532-2024")</f>
        <v/>
      </c>
      <c r="AA22">
        <f>HYPERLINK("https://klasma.github.io/Logging_0586/tillsyn/A 33532-2024 tillsynsbegäran.docx", "A 33532-2024")</f>
        <v/>
      </c>
      <c r="AB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46221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HYPERLINK("https://klasma.github.io/Logging_0586/artfynd/A 60983-2023 artfynd.xlsx", "A 60983-2023")</f>
        <v/>
      </c>
      <c r="W23">
        <f>HYPERLINK("https://klasma.github.io/Logging_0586/kartor/A 60983-2023 karta.png", "A 60983-2023")</f>
        <v/>
      </c>
      <c r="Y23">
        <f>HYPERLINK("https://klasma.github.io/Logging_0586/klagomål/A 60983-2023 FSC-klagomål.docx", "A 60983-2023")</f>
        <v/>
      </c>
      <c r="Z23">
        <f>HYPERLINK("https://klasma.github.io/Logging_0586/klagomålsmail/A 60983-2023 FSC-klagomål mail.docx", "A 60983-2023")</f>
        <v/>
      </c>
      <c r="AA23">
        <f>HYPERLINK("https://klasma.github.io/Logging_0586/tillsyn/A 60983-2023 tillsynsbegäran.docx", "A 60983-2023")</f>
        <v/>
      </c>
      <c r="AB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46221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Skogsduva</t>
        </is>
      </c>
      <c r="V24">
        <f>HYPERLINK("https://klasma.github.io/Logging_0586/artfynd/A 53521-2023 artfynd.xlsx", "A 53521-2023")</f>
        <v/>
      </c>
      <c r="W24">
        <f>HYPERLINK("https://klasma.github.io/Logging_0586/kartor/A 53521-2023 karta.png", "A 53521-2023")</f>
        <v/>
      </c>
      <c r="Y24">
        <f>HYPERLINK("https://klasma.github.io/Logging_0586/klagomål/A 53521-2023 FSC-klagomål.docx", "A 53521-2023")</f>
        <v/>
      </c>
      <c r="Z24">
        <f>HYPERLINK("https://klasma.github.io/Logging_0586/klagomålsmail/A 53521-2023 FSC-klagomål mail.docx", "A 53521-2023")</f>
        <v/>
      </c>
      <c r="AA24">
        <f>HYPERLINK("https://klasma.github.io/Logging_0586/tillsyn/A 53521-2023 tillsynsbegäran.docx", "A 53521-2023")</f>
        <v/>
      </c>
      <c r="AB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46221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HYPERLINK("https://klasma.github.io/Logging_0586/artfynd/A 2230-2025 artfynd.xlsx", "A 2230-2025")</f>
        <v/>
      </c>
      <c r="W25">
        <f>HYPERLINK("https://klasma.github.io/Logging_0586/kartor/A 2230-2025 karta.png", "A 2230-2025")</f>
        <v/>
      </c>
      <c r="Y25">
        <f>HYPERLINK("https://klasma.github.io/Logging_0586/klagomål/A 2230-2025 FSC-klagomål.docx", "A 2230-2025")</f>
        <v/>
      </c>
      <c r="Z25">
        <f>HYPERLINK("https://klasma.github.io/Logging_0586/klagomålsmail/A 2230-2025 FSC-klagomål mail.docx", "A 2230-2025")</f>
        <v/>
      </c>
      <c r="AA25">
        <f>HYPERLINK("https://klasma.github.io/Logging_0586/tillsyn/A 2230-2025 tillsynsbegäran.docx", "A 2230-2025")</f>
        <v/>
      </c>
      <c r="AB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46221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46221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46221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46221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46221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46221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46221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46221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46221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46221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46221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12253-2024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46221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46221</v>
      </c>
      <c r="F38" t="inlineStr">
        <is>
          <t>ÖSTERGÖTLANDS LÄN</t>
        </is>
      </c>
      <c r="G38" t="inlineStr">
        <is>
          <t>MJÖLBY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53518-2022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46221</v>
      </c>
      <c r="F39" t="inlineStr">
        <is>
          <t>ÖSTERGÖTLANDS LÄN</t>
        </is>
      </c>
      <c r="G39" t="inlineStr">
        <is>
          <t>MJÖLBY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46221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49566-2021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46221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46221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72558-2021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46221</v>
      </c>
      <c r="F43" t="inlineStr">
        <is>
          <t>ÖSTERGÖTLANDS LÄN</t>
        </is>
      </c>
      <c r="G43" t="inlineStr">
        <is>
          <t>MJÖLBY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46221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46221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46240-2021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46221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46221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50179-2023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45208</v>
      </c>
      <c r="E48" s="1" t="n">
        <v>46221</v>
      </c>
      <c r="F48" t="inlineStr">
        <is>
          <t>ÖSTERGÖTLANDS LÄN</t>
        </is>
      </c>
      <c r="G48" t="inlineStr">
        <is>
          <t>MJÖLBY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46221</v>
      </c>
      <c r="F49" t="inlineStr">
        <is>
          <t>ÖSTERGÖTLANDS LÄN</t>
        </is>
      </c>
      <c r="G49" t="inlineStr">
        <is>
          <t>MJÖLBY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46221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46221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46221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46221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46221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43012-2024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45567</v>
      </c>
      <c r="E55" s="1" t="n">
        <v>46221</v>
      </c>
      <c r="F55" t="inlineStr">
        <is>
          <t>ÖSTERGÖTLANDS LÄN</t>
        </is>
      </c>
      <c r="G55" t="inlineStr">
        <is>
          <t>MJÖLBY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46221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46221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46048</v>
      </c>
      <c r="E58" s="1" t="n">
        <v>46221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46221</v>
      </c>
      <c r="F59" t="inlineStr">
        <is>
          <t>ÖSTERGÖTLANDS LÄN</t>
        </is>
      </c>
      <c r="G59" t="inlineStr">
        <is>
          <t>MJÖLBY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46221</v>
      </c>
      <c r="F60" t="inlineStr">
        <is>
          <t>ÖSTERGÖTLANDS LÄN</t>
        </is>
      </c>
      <c r="G60" t="inlineStr">
        <is>
          <t>MJÖLBY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46221</v>
      </c>
      <c r="F61" t="inlineStr">
        <is>
          <t>ÖSTERGÖTLANDS LÄN</t>
        </is>
      </c>
      <c r="G61" t="inlineStr">
        <is>
          <t>MJÖLBY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46221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46221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23781-2025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46221</v>
      </c>
      <c r="F64" t="inlineStr">
        <is>
          <t>ÖSTERGÖTLANDS LÄN</t>
        </is>
      </c>
      <c r="G64" t="inlineStr">
        <is>
          <t>MJÖLBY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46221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46221</v>
      </c>
      <c r="F66" t="inlineStr">
        <is>
          <t>ÖSTERGÖTLANDS LÄN</t>
        </is>
      </c>
      <c r="G66" t="inlineStr">
        <is>
          <t>MJÖLBY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55730-2022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46221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46221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46221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15491-2024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45401</v>
      </c>
      <c r="E70" s="1" t="n">
        <v>46221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44752-2025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46221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46221</v>
      </c>
      <c r="F72" t="inlineStr">
        <is>
          <t>ÖSTERGÖTLANDS LÄN</t>
        </is>
      </c>
      <c r="G72" t="inlineStr">
        <is>
          <t>MJÖLBY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46221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46221</v>
      </c>
      <c r="F74" t="inlineStr">
        <is>
          <t>ÖSTERGÖTLANDS LÄN</t>
        </is>
      </c>
      <c r="G74" t="inlineStr">
        <is>
          <t>MJÖLBY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46221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46144-2025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46221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46221</v>
      </c>
      <c r="F77" t="inlineStr">
        <is>
          <t>ÖSTERGÖTLANDS LÄN</t>
        </is>
      </c>
      <c r="G77" t="inlineStr">
        <is>
          <t>MJÖLBY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46221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64930-2023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46221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24866-2023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46221</v>
      </c>
      <c r="F80" t="inlineStr">
        <is>
          <t>ÖSTERGÖTLANDS LÄN</t>
        </is>
      </c>
      <c r="G80" t="inlineStr">
        <is>
          <t>MJÖLBY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37806-2022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46221</v>
      </c>
      <c r="F81" t="inlineStr">
        <is>
          <t>ÖSTERGÖTLANDS LÄN</t>
        </is>
      </c>
      <c r="G81" t="inlineStr">
        <is>
          <t>MJÖLBY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46521-2025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46221</v>
      </c>
      <c r="F82" t="inlineStr">
        <is>
          <t>ÖSTERGÖTLANDS LÄN</t>
        </is>
      </c>
      <c r="G82" t="inlineStr">
        <is>
          <t>MJÖLBY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44946</v>
      </c>
      <c r="E83" s="1" t="n">
        <v>46221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58415-2021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46221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35447-2023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46221</v>
      </c>
      <c r="F85" t="inlineStr">
        <is>
          <t>ÖSTERGÖTLANDS LÄN</t>
        </is>
      </c>
      <c r="G85" t="inlineStr">
        <is>
          <t>MJÖLBY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37802-2022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46221</v>
      </c>
      <c r="F86" t="inlineStr">
        <is>
          <t>ÖSTERGÖTLANDS LÄN</t>
        </is>
      </c>
      <c r="G86" t="inlineStr">
        <is>
          <t>MJÖLBY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46221</v>
      </c>
      <c r="F87" t="inlineStr">
        <is>
          <t>ÖSTERGÖTLANDS LÄN</t>
        </is>
      </c>
      <c r="G87" t="inlineStr">
        <is>
          <t>MJÖLBY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38199-2025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46221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46221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46221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46221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46221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46221</v>
      </c>
      <c r="F93" t="inlineStr">
        <is>
          <t>ÖSTERGÖTLANDS LÄN</t>
        </is>
      </c>
      <c r="G93" t="inlineStr">
        <is>
          <t>MJÖLBY</t>
        </is>
      </c>
      <c r="H93" t="inlineStr">
        <is>
          <t>Allmännings- och besparingsskogar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46221</v>
      </c>
      <c r="F94" t="inlineStr">
        <is>
          <t>ÖSTERGÖTLANDS LÄN</t>
        </is>
      </c>
      <c r="G94" t="inlineStr">
        <is>
          <t>MJÖLBY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44770-2025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46221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44769-2025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45917</v>
      </c>
      <c r="E96" s="1" t="n">
        <v>46221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11064-2026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46079</v>
      </c>
      <c r="E97" s="1" t="n">
        <v>46221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55939-2025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46221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60977-2023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46221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46221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46221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46221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46221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46221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46221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46221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59105-2025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46221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60969-2023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46221</v>
      </c>
      <c r="F108" t="inlineStr">
        <is>
          <t>ÖSTERGÖTLANDS LÄN</t>
        </is>
      </c>
      <c r="G108" t="inlineStr">
        <is>
          <t>MJÖLBY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38299-2023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46221</v>
      </c>
      <c r="F109" t="inlineStr">
        <is>
          <t>ÖSTERGÖTLANDS LÄN</t>
        </is>
      </c>
      <c r="G109" t="inlineStr">
        <is>
          <t>MJÖLBY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46221</v>
      </c>
      <c r="F110" t="inlineStr">
        <is>
          <t>ÖSTERGÖTLANDS LÄN</t>
        </is>
      </c>
      <c r="G110" t="inlineStr">
        <is>
          <t>MJÖLBY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46221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58800-2022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44903</v>
      </c>
      <c r="E112" s="1" t="n">
        <v>46221</v>
      </c>
      <c r="F112" t="inlineStr">
        <is>
          <t>ÖSTERGÖTLANDS LÄN</t>
        </is>
      </c>
      <c r="G112" t="inlineStr">
        <is>
          <t>MJÖLBY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6785-2024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46221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11944-2024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46221</v>
      </c>
      <c r="F114" t="inlineStr">
        <is>
          <t>ÖSTERGÖTLANDS LÄN</t>
        </is>
      </c>
      <c r="G114" t="inlineStr">
        <is>
          <t>MJÖLBY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62391-2025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46007</v>
      </c>
      <c r="E115" s="1" t="n">
        <v>46221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Kyrkan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14928-2026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46221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63445-2025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46221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46221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15032-2026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46221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46221</v>
      </c>
      <c r="F120" t="inlineStr">
        <is>
          <t>ÖSTERGÖTLANDS LÄN</t>
        </is>
      </c>
      <c r="G120" t="inlineStr">
        <is>
          <t>MJÖLBY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59410-2022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44907</v>
      </c>
      <c r="E121" s="1" t="n">
        <v>46221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46221</v>
      </c>
      <c r="F122" t="inlineStr">
        <is>
          <t>ÖSTERGÖTLANDS LÄN</t>
        </is>
      </c>
      <c r="G122" t="inlineStr">
        <is>
          <t>MJÖLBY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16110-2026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46108</v>
      </c>
      <c r="E123" s="1" t="n">
        <v>46221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45269</v>
      </c>
      <c r="E124" s="1" t="n">
        <v>46221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46221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17699-2026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46221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46221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46127</v>
      </c>
      <c r="E128" s="1" t="n">
        <v>46221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46221</v>
      </c>
      <c r="F129" t="inlineStr">
        <is>
          <t>ÖSTERGÖTLANDS LÄN</t>
        </is>
      </c>
      <c r="G129" t="inlineStr">
        <is>
          <t>MJÖLBY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46221</v>
      </c>
      <c r="F130" t="inlineStr">
        <is>
          <t>ÖSTERGÖTLANDS LÄN</t>
        </is>
      </c>
      <c r="G130" t="inlineStr">
        <is>
          <t>MJÖLBY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39965-2025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45892</v>
      </c>
      <c r="E131" s="1" t="n">
        <v>46221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27255-2025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46221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46221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68095-2021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44526</v>
      </c>
      <c r="E134" s="1" t="n">
        <v>46221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41105-2025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46221</v>
      </c>
      <c r="F135" t="inlineStr">
        <is>
          <t>ÖSTERGÖTLANDS LÄN</t>
        </is>
      </c>
      <c r="G135" t="inlineStr">
        <is>
          <t>MJÖLBY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46221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46221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46221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46221</v>
      </c>
      <c r="F139" t="inlineStr">
        <is>
          <t>ÖSTERGÖTLANDS LÄN</t>
        </is>
      </c>
      <c r="G139" t="inlineStr">
        <is>
          <t>MJÖLBY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46221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46221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8658-2022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46221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31010-2022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44768</v>
      </c>
      <c r="E143" s="1" t="n">
        <v>46221</v>
      </c>
      <c r="F143" t="inlineStr">
        <is>
          <t>ÖSTERGÖTLANDS LÄN</t>
        </is>
      </c>
      <c r="G143" t="inlineStr">
        <is>
          <t>MJÖLBY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20357-2026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46139</v>
      </c>
      <c r="E144" s="1" t="n">
        <v>46221</v>
      </c>
      <c r="F144" t="inlineStr">
        <is>
          <t>ÖSTERGÖTLANDS LÄN</t>
        </is>
      </c>
      <c r="G144" t="inlineStr">
        <is>
          <t>MJÖLBY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46221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46221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62447-2025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46221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Kommuner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46221</v>
      </c>
      <c r="F148" t="inlineStr">
        <is>
          <t>ÖSTERGÖTLANDS LÄN</t>
        </is>
      </c>
      <c r="G148" t="inlineStr">
        <is>
          <t>MJÖLBY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27137-2026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46221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27126-2026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46188</v>
      </c>
      <c r="E150" s="1" t="n">
        <v>46221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21518-2026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46221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11478-2024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46221</v>
      </c>
      <c r="F152" t="inlineStr">
        <is>
          <t>ÖSTERGÖTLANDS LÄN</t>
        </is>
      </c>
      <c r="G152" t="inlineStr">
        <is>
          <t>MJÖLBY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45526</v>
      </c>
      <c r="E153" s="1" t="n">
        <v>46221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46221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46221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28131-2026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46221</v>
      </c>
      <c r="F156" t="inlineStr">
        <is>
          <t>ÖSTERGÖTLANDS LÄN</t>
        </is>
      </c>
      <c r="G156" t="inlineStr">
        <is>
          <t>MJÖLBY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53520-2022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46221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52655-2023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45225</v>
      </c>
      <c r="E158" s="1" t="n">
        <v>46221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22307-2024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46221</v>
      </c>
      <c r="F159" t="inlineStr">
        <is>
          <t>ÖSTERGÖTLANDS LÄN</t>
        </is>
      </c>
      <c r="G159" t="inlineStr">
        <is>
          <t>MJÖLBY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46221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46221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15783-2022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44663</v>
      </c>
      <c r="E162" s="1" t="n">
        <v>46221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46221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46221</v>
      </c>
      <c r="F164" t="inlineStr">
        <is>
          <t>ÖSTERGÖTLANDS LÄN</t>
        </is>
      </c>
      <c r="G164" t="inlineStr">
        <is>
          <t>MJÖLBY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46221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28525-2026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46221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28652-2026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46221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46221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46221</v>
      </c>
      <c r="F169" t="inlineStr">
        <is>
          <t>ÖSTERGÖTLANDS LÄN</t>
        </is>
      </c>
      <c r="G169" t="inlineStr">
        <is>
          <t>MJÖLBY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4314-2024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46221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Kyrkan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24139-2026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46221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46221</v>
      </c>
      <c r="F172" t="inlineStr">
        <is>
          <t>ÖSTERGÖTLANDS LÄN</t>
        </is>
      </c>
      <c r="G172" t="inlineStr">
        <is>
          <t>MJÖLBY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41819-2023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46221</v>
      </c>
      <c r="F173" t="inlineStr">
        <is>
          <t>ÖSTERGÖTLANDS LÄN</t>
        </is>
      </c>
      <c r="G173" t="inlineStr">
        <is>
          <t>MJÖLBY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46221</v>
      </c>
      <c r="F174" t="inlineStr">
        <is>
          <t>ÖSTERGÖTLANDS LÄN</t>
        </is>
      </c>
      <c r="G174" t="inlineStr">
        <is>
          <t>MJÖLBY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50883-2024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46221</v>
      </c>
      <c r="F175" t="inlineStr">
        <is>
          <t>ÖSTERGÖTLANDS LÄN</t>
        </is>
      </c>
      <c r="G175" t="inlineStr">
        <is>
          <t>MJÖLBY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50896-2024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46221</v>
      </c>
      <c r="F176" t="inlineStr">
        <is>
          <t>ÖSTERGÖTLANDS LÄN</t>
        </is>
      </c>
      <c r="G176" t="inlineStr">
        <is>
          <t>MJÖLBY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46221</v>
      </c>
      <c r="F177" t="inlineStr">
        <is>
          <t>ÖSTERGÖTLANDS LÄN</t>
        </is>
      </c>
      <c r="G177" t="inlineStr">
        <is>
          <t>MJÖLBY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46221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46216</v>
      </c>
      <c r="E179" s="1" t="n">
        <v>46221</v>
      </c>
      <c r="F179" t="inlineStr">
        <is>
          <t>ÖSTERGÖTLANDS LÄN</t>
        </is>
      </c>
      <c r="G179" t="inlineStr">
        <is>
          <t>MJÖLBY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46221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46221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40667-2023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46221</v>
      </c>
      <c r="F182" t="inlineStr">
        <is>
          <t>ÖSTERGÖTLANDS LÄN</t>
        </is>
      </c>
      <c r="G182" t="inlineStr">
        <is>
          <t>MJÖLBY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24903-2026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46174</v>
      </c>
      <c r="E183" s="1" t="n">
        <v>46221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46217</v>
      </c>
      <c r="E184" s="1" t="n">
        <v>46221</v>
      </c>
      <c r="F184" t="inlineStr">
        <is>
          <t>ÖSTERGÖTLANDS LÄN</t>
        </is>
      </c>
      <c r="G184" t="inlineStr">
        <is>
          <t>MJÖLBY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24894-2026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46221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46221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46221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42042-2023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46221</v>
      </c>
      <c r="F188" t="inlineStr">
        <is>
          <t>ÖSTERGÖTLANDS LÄN</t>
        </is>
      </c>
      <c r="G188" t="inlineStr">
        <is>
          <t>MJÖLBY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46221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46221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46221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50886-2024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46221</v>
      </c>
      <c r="F192" t="inlineStr">
        <is>
          <t>ÖSTERGÖTLANDS LÄN</t>
        </is>
      </c>
      <c r="G192" t="inlineStr">
        <is>
          <t>MJÖLBY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46221</v>
      </c>
      <c r="F193" t="inlineStr">
        <is>
          <t>ÖSTERGÖTLANDS LÄN</t>
        </is>
      </c>
      <c r="G193" t="inlineStr">
        <is>
          <t>MJÖLBY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45384</v>
      </c>
      <c r="E194" s="1" t="n">
        <v>46221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46221</v>
      </c>
      <c r="F195" t="inlineStr">
        <is>
          <t>ÖSTERGÖTLANDS LÄN</t>
        </is>
      </c>
      <c r="G195" t="inlineStr">
        <is>
          <t>MJÖLBY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46221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46221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46221</v>
      </c>
      <c r="F198" t="inlineStr">
        <is>
          <t>ÖSTERGÖTLANDS LÄN</t>
        </is>
      </c>
      <c r="G198" t="inlineStr">
        <is>
          <t>MJÖLBY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22328-2024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46221</v>
      </c>
      <c r="F199" t="inlineStr">
        <is>
          <t>ÖSTERGÖTLANDS LÄN</t>
        </is>
      </c>
      <c r="G199" t="inlineStr">
        <is>
          <t>MJÖLBY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45293</v>
      </c>
      <c r="E200" s="1" t="n">
        <v>46221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46221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38300-2023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46221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46221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46221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49971-2023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46221</v>
      </c>
      <c r="F205" t="inlineStr">
        <is>
          <t>ÖSTERGÖTLANDS LÄN</t>
        </is>
      </c>
      <c r="G205" t="inlineStr">
        <is>
          <t>MJÖLBY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46221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46221</v>
      </c>
      <c r="F207" t="inlineStr">
        <is>
          <t>ÖSTERGÖTLANDS LÄN</t>
        </is>
      </c>
      <c r="G207" t="inlineStr">
        <is>
          <t>MJÖLBY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46221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46221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34664-2024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46221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46221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46221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46221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46221</v>
      </c>
      <c r="F214" t="inlineStr">
        <is>
          <t>ÖSTERGÖTLANDS LÄN</t>
        </is>
      </c>
      <c r="G214" t="inlineStr">
        <is>
          <t>MJÖLBY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46221</v>
      </c>
      <c r="F215" t="inlineStr">
        <is>
          <t>ÖSTERGÖTLANDS LÄN</t>
        </is>
      </c>
      <c r="G215" t="inlineStr">
        <is>
          <t>MJÖLBY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2026-07-18T01:23:09Z</dcterms:created>
  <dcterms:modified xmlns:dcterms="http://purl.org/dc/terms/" xmlns:xsi="http://www.w3.org/2001/XMLSchema-instance" xsi:type="dcterms:W3CDTF">2026-07-18T01:23:09Z</dcterms:modified>
</cp:coreProperties>
</file>