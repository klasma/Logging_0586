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46216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46216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46216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s="2" t="inlineStr">
        <is>
          <t>Backsippa
Axveronika
Flentimotej</t>
        </is>
      </c>
      <c r="V4">
        <f>HYPERLINK("https://klasma.github.io/Logging_0586/artfynd/A 23130-2025 artfynd.xlsx", "A 23130-2025")</f>
        <v/>
      </c>
      <c r="W4">
        <f>HYPERLINK("https://klasma.github.io/Logging_0586/kartor/A 23130-2025 karta.png", "A 23130-2025")</f>
        <v/>
      </c>
      <c r="Y4">
        <f>HYPERLINK("https://klasma.github.io/Logging_0586/klagomål/A 23130-2025 FSC-klagomål.docx", "A 23130-2025")</f>
        <v/>
      </c>
      <c r="Z4">
        <f>HYPERLINK("https://klasma.github.io/Logging_0586/klagomålsmail/A 23130-2025 FSC-klagomål mail.docx", "A 23130-2025")</f>
        <v/>
      </c>
      <c r="AA4">
        <f>HYPERLINK("https://klasma.github.io/Logging_0586/tillsyn/A 23130-2025 tillsynsbegäran.docx", "A 23130-2025")</f>
        <v/>
      </c>
      <c r="AB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46216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Kattfotslav
Flagellkvastmossa</t>
        </is>
      </c>
      <c r="V5">
        <f>HYPERLINK("https://klasma.github.io/Logging_0586/artfynd/S 2532-2022 artfynd.xlsx", "S 2532-2022")</f>
        <v/>
      </c>
      <c r="W5">
        <f>HYPERLINK("https://klasma.github.io/Logging_0586/kartor/S 2532-2022 karta.png", "S 2532-2022")</f>
        <v/>
      </c>
      <c r="Y5">
        <f>HYPERLINK("https://klasma.github.io/Logging_0586/klagomål/S 2532-2022 FSC-klagomål.docx", "S 2532-2022")</f>
        <v/>
      </c>
      <c r="Z5">
        <f>HYPERLINK("https://klasma.github.io/Logging_0586/klagomålsmail/S 2532-2022 FSC-klagomål mail.docx", "S 2532-2022")</f>
        <v/>
      </c>
      <c r="AA5">
        <f>HYPERLINK("https://klasma.github.io/Logging_0586/tillsyn/S 2532-2022 tillsynsbegäran.docx", "S 2532-2022")</f>
        <v/>
      </c>
      <c r="AB5">
        <f>HYPERLINK("https://klasma.github.io/Logging_0586/tillsynsmail/S 2532-2022 tillsynsbegäran mail.docx", "S 2532-2022")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46216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Klubbsprötad bastardsvärmare</t>
        </is>
      </c>
      <c r="V6">
        <f>HYPERLINK("https://klasma.github.io/Logging_0586/artfynd/A 13567-2025 artfynd.xlsx", "A 13567-2025")</f>
        <v/>
      </c>
      <c r="W6">
        <f>HYPERLINK("https://klasma.github.io/Logging_0586/kartor/A 13567-2025 karta.png", "A 13567-2025")</f>
        <v/>
      </c>
      <c r="Y6">
        <f>HYPERLINK("https://klasma.github.io/Logging_0586/klagomål/A 13567-2025 FSC-klagomål.docx", "A 13567-2025")</f>
        <v/>
      </c>
      <c r="Z6">
        <f>HYPERLINK("https://klasma.github.io/Logging_0586/klagomålsmail/A 13567-2025 FSC-klagomål mail.docx", "A 13567-2025")</f>
        <v/>
      </c>
      <c r="AA6">
        <f>HYPERLINK("https://klasma.github.io/Logging_0586/tillsyn/A 13567-2025 tillsynsbegäran.docx", "A 13567-2025")</f>
        <v/>
      </c>
      <c r="AB6">
        <f>HYPERLINK("https://klasma.github.io/Logging_0586/tillsynsmail/A 13567-2025 tillsynsbegäran mail.docx", "A 13567-2025")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46216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s="2" t="inlineStr">
        <is>
          <t>Solvända</t>
        </is>
      </c>
      <c r="V7">
        <f>HYPERLINK("https://klasma.github.io/Logging_0586/artfynd/A 7564-2025 artfynd.xlsx", "A 7564-2025")</f>
        <v/>
      </c>
      <c r="W7">
        <f>HYPERLINK("https://klasma.github.io/Logging_0586/kartor/A 7564-2025 karta.png", "A 7564-2025")</f>
        <v/>
      </c>
      <c r="Y7">
        <f>HYPERLINK("https://klasma.github.io/Logging_0586/klagomål/A 7564-2025 FSC-klagomål.docx", "A 7564-2025")</f>
        <v/>
      </c>
      <c r="Z7">
        <f>HYPERLINK("https://klasma.github.io/Logging_0586/klagomålsmail/A 7564-2025 FSC-klagomål mail.docx", "A 7564-2025")</f>
        <v/>
      </c>
      <c r="AA7">
        <f>HYPERLINK("https://klasma.github.io/Logging_0586/tillsyn/A 7564-2025 tillsynsbegäran.docx", "A 7564-2025")</f>
        <v/>
      </c>
      <c r="AB7">
        <f>HYPERLINK("https://klasma.github.io/Logging_0586/tillsynsmail/A 7564-2025 tillsynsbegäran mail.docx", "A 7564-2025")</f>
        <v/>
      </c>
    </row>
    <row r="8" ht="15" customHeight="1">
      <c r="A8" t="inlineStr">
        <is>
          <t>A 54444-2021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46216</v>
      </c>
      <c r="F8" t="inlineStr">
        <is>
          <t>ÖSTERGÖTLANDS LÄN</t>
        </is>
      </c>
      <c r="G8" t="inlineStr">
        <is>
          <t>MJÖLBY</t>
        </is>
      </c>
      <c r="I8" t="n">
        <v>1.3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Ängshök</t>
        </is>
      </c>
      <c r="V8">
        <f>HYPERLINK("https://klasma.github.io/Logging_0586/artfynd/A 54444-2021 artfynd.xlsx", "A 54444-2021")</f>
        <v/>
      </c>
      <c r="W8">
        <f>HYPERLINK("https://klasma.github.io/Logging_0586/kartor/A 54444-2021 karta.png", "A 54444-2021")</f>
        <v/>
      </c>
      <c r="Y8">
        <f>HYPERLINK("https://klasma.github.io/Logging_0586/klagomål/A 54444-2021 FSC-klagomål.docx", "A 54444-2021")</f>
        <v/>
      </c>
      <c r="Z8">
        <f>HYPERLINK("https://klasma.github.io/Logging_0586/klagomålsmail/A 54444-2021 FSC-klagomål mail.docx", "A 54444-2021")</f>
        <v/>
      </c>
      <c r="AA8">
        <f>HYPERLINK("https://klasma.github.io/Logging_0586/tillsyn/A 54444-2021 tillsynsbegäran.docx", "A 54444-2021")</f>
        <v/>
      </c>
      <c r="AB8">
        <f>HYPERLINK("https://klasma.github.io/Logging_0586/tillsynsmail/A 54444-2021 tillsynsbegäran mail.docx", "A 54444-2021")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46216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HYPERLINK("https://klasma.github.io/Logging_0586/artfynd/A 41274-2025 artfynd.xlsx", "A 41274-2025")</f>
        <v/>
      </c>
      <c r="W9">
        <f>HYPERLINK("https://klasma.github.io/Logging_0586/kartor/A 41274-2025 karta.png", "A 41274-2025")</f>
        <v/>
      </c>
      <c r="Y9">
        <f>HYPERLINK("https://klasma.github.io/Logging_0586/klagomål/A 41274-2025 FSC-klagomål.docx", "A 41274-2025")</f>
        <v/>
      </c>
      <c r="Z9">
        <f>HYPERLINK("https://klasma.github.io/Logging_0586/klagomålsmail/A 41274-2025 FSC-klagomål mail.docx", "A 41274-2025")</f>
        <v/>
      </c>
      <c r="AA9">
        <f>HYPERLINK("https://klasma.github.io/Logging_0586/tillsyn/A 41274-2025 tillsynsbegäran.docx", "A 41274-2025")</f>
        <v/>
      </c>
      <c r="AB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46216</v>
      </c>
      <c r="F10" t="inlineStr">
        <is>
          <t>ÖSTERGÖTLANDS LÄN</t>
        </is>
      </c>
      <c r="G10" t="inlineStr">
        <is>
          <t>MJÖLBY</t>
        </is>
      </c>
      <c r="I10" t="n">
        <v>1.8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Svinrot</t>
        </is>
      </c>
      <c r="V10">
        <f>HYPERLINK("https://klasma.github.io/Logging_0586/artfynd/A 22327-2024 artfynd.xlsx", "A 22327-2024")</f>
        <v/>
      </c>
      <c r="W10">
        <f>HYPERLINK("https://klasma.github.io/Logging_0586/kartor/A 22327-2024 karta.png", "A 22327-2024")</f>
        <v/>
      </c>
      <c r="Y10">
        <f>HYPERLINK("https://klasma.github.io/Logging_0586/klagomål/A 22327-2024 FSC-klagomål.docx", "A 22327-2024")</f>
        <v/>
      </c>
      <c r="Z10">
        <f>HYPERLINK("https://klasma.github.io/Logging_0586/klagomålsmail/A 22327-2024 FSC-klagomål mail.docx", "A 22327-2024")</f>
        <v/>
      </c>
      <c r="AA10">
        <f>HYPERLINK("https://klasma.github.io/Logging_0586/tillsyn/A 22327-2024 tillsynsbegäran.docx", "A 22327-2024")</f>
        <v/>
      </c>
      <c r="AB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46216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Tvåblad</t>
        </is>
      </c>
      <c r="V11">
        <f>HYPERLINK("https://klasma.github.io/Logging_0586/artfynd/A 46156-2025 artfynd.xlsx", "A 46156-2025")</f>
        <v/>
      </c>
      <c r="W11">
        <f>HYPERLINK("https://klasma.github.io/Logging_0586/kartor/A 46156-2025 karta.png", "A 46156-2025")</f>
        <v/>
      </c>
      <c r="Y11">
        <f>HYPERLINK("https://klasma.github.io/Logging_0586/klagomål/A 46156-2025 FSC-klagomål.docx", "A 46156-2025")</f>
        <v/>
      </c>
      <c r="Z11">
        <f>HYPERLINK("https://klasma.github.io/Logging_0586/klagomålsmail/A 46156-2025 FSC-klagomål mail.docx", "A 46156-2025")</f>
        <v/>
      </c>
      <c r="AA11">
        <f>HYPERLINK("https://klasma.github.io/Logging_0586/tillsyn/A 46156-2025 tillsynsbegäran.docx", "A 46156-2025")</f>
        <v/>
      </c>
      <c r="AB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46216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Knärot</t>
        </is>
      </c>
      <c r="V12">
        <f>HYPERLINK("https://klasma.github.io/Logging_0586/artfynd/A 46123-2025 artfynd.xlsx", "A 46123-2025")</f>
        <v/>
      </c>
      <c r="W12">
        <f>HYPERLINK("https://klasma.github.io/Logging_0586/kartor/A 46123-2025 karta.png", "A 46123-2025")</f>
        <v/>
      </c>
      <c r="X12">
        <f>HYPERLINK("https://klasma.github.io/Logging_0586/knärot/A 46123-2025 karta knärot.png", "A 46123-2025")</f>
        <v/>
      </c>
      <c r="Y12">
        <f>HYPERLINK("https://klasma.github.io/Logging_0586/klagomål/A 46123-2025 FSC-klagomål.docx", "A 46123-2025")</f>
        <v/>
      </c>
      <c r="Z12">
        <f>HYPERLINK("https://klasma.github.io/Logging_0586/klagomålsmail/A 46123-2025 FSC-klagomål mail.docx", "A 46123-2025")</f>
        <v/>
      </c>
      <c r="AA12">
        <f>HYPERLINK("https://klasma.github.io/Logging_0586/tillsyn/A 46123-2025 tillsynsbegäran.docx", "A 46123-2025")</f>
        <v/>
      </c>
      <c r="AB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46216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HYPERLINK("https://klasma.github.io/Logging_0586/artfynd/A 46522-2025 artfynd.xlsx", "A 46522-2025")</f>
        <v/>
      </c>
      <c r="W13">
        <f>HYPERLINK("https://klasma.github.io/Logging_0586/kartor/A 46522-2025 karta.png", "A 46522-2025")</f>
        <v/>
      </c>
      <c r="Y13">
        <f>HYPERLINK("https://klasma.github.io/Logging_0586/klagomål/A 46522-2025 FSC-klagomål.docx", "A 46522-2025")</f>
        <v/>
      </c>
      <c r="Z13">
        <f>HYPERLINK("https://klasma.github.io/Logging_0586/klagomålsmail/A 46522-2025 FSC-klagomål mail.docx", "A 46522-2025")</f>
        <v/>
      </c>
      <c r="AA13">
        <f>HYPERLINK("https://klasma.github.io/Logging_0586/tillsyn/A 46522-2025 tillsynsbegäran.docx", "A 46522-2025")</f>
        <v/>
      </c>
      <c r="AB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46216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Grönvit nattviol</t>
        </is>
      </c>
      <c r="V14">
        <f>HYPERLINK("https://klasma.github.io/Logging_0586/artfynd/A 60983-2023 artfynd.xlsx", "A 60983-2023")</f>
        <v/>
      </c>
      <c r="W14">
        <f>HYPERLINK("https://klasma.github.io/Logging_0586/kartor/A 60983-2023 karta.png", "A 60983-2023")</f>
        <v/>
      </c>
      <c r="Y14">
        <f>HYPERLINK("https://klasma.github.io/Logging_0586/klagomål/A 60983-2023 FSC-klagomål.docx", "A 60983-2023")</f>
        <v/>
      </c>
      <c r="Z14">
        <f>HYPERLINK("https://klasma.github.io/Logging_0586/klagomålsmail/A 60983-2023 FSC-klagomål mail.docx", "A 60983-2023")</f>
        <v/>
      </c>
      <c r="AA14">
        <f>HYPERLINK("https://klasma.github.io/Logging_0586/tillsyn/A 60983-2023 tillsynsbegäran.docx", "A 60983-2023")</f>
        <v/>
      </c>
      <c r="AB14">
        <f>HYPERLINK("https://klasma.github.io/Logging_0586/tillsynsmail/A 60983-2023 tillsynsbegäran mail.docx", "A 60983-2023")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46216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Tibast</t>
        </is>
      </c>
      <c r="V15">
        <f>HYPERLINK("https://klasma.github.io/Logging_0586/artfynd/A 62852-2025 artfynd.xlsx", "A 62852-2025")</f>
        <v/>
      </c>
      <c r="W15">
        <f>HYPERLINK("https://klasma.github.io/Logging_0586/kartor/A 62852-2025 karta.png", "A 62852-2025")</f>
        <v/>
      </c>
      <c r="Y15">
        <f>HYPERLINK("https://klasma.github.io/Logging_0586/klagomål/A 62852-2025 FSC-klagomål.docx", "A 62852-2025")</f>
        <v/>
      </c>
      <c r="Z15">
        <f>HYPERLINK("https://klasma.github.io/Logging_0586/klagomålsmail/A 62852-2025 FSC-klagomål mail.docx", "A 62852-2025")</f>
        <v/>
      </c>
      <c r="AA15">
        <f>HYPERLINK("https://klasma.github.io/Logging_0586/tillsyn/A 62852-2025 tillsynsbegäran.docx", "A 62852-2025")</f>
        <v/>
      </c>
      <c r="AB15">
        <f>HYPERLINK("https://klasma.github.io/Logging_0586/tillsynsmail/A 62852-2025 tillsynsbegäran mail.docx", "A 62852-2025")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46216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HYPERLINK("https://klasma.github.io/Logging_0586/artfynd/A 9030-2022 artfynd.xlsx", "A 9030-2022")</f>
        <v/>
      </c>
      <c r="W16">
        <f>HYPERLINK("https://klasma.github.io/Logging_0586/kartor/A 9030-2022 karta.png", "A 9030-2022")</f>
        <v/>
      </c>
      <c r="Y16">
        <f>HYPERLINK("https://klasma.github.io/Logging_0586/klagomål/A 9030-2022 FSC-klagomål.docx", "A 9030-2022")</f>
        <v/>
      </c>
      <c r="Z16">
        <f>HYPERLINK("https://klasma.github.io/Logging_0586/klagomålsmail/A 9030-2022 FSC-klagomål mail.docx", "A 9030-2022")</f>
        <v/>
      </c>
      <c r="AA16">
        <f>HYPERLINK("https://klasma.github.io/Logging_0586/tillsyn/A 9030-2022 tillsynsbegäran.docx", "A 9030-2022")</f>
        <v/>
      </c>
      <c r="AB16">
        <f>HYPERLINK("https://klasma.github.io/Logging_0586/tillsynsmail/A 9030-2022 tillsynsbegäran mail.docx", "A 9030-2022")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46216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Backsippa</t>
        </is>
      </c>
      <c r="V17">
        <f>HYPERLINK("https://klasma.github.io/Logging_0586/artfynd/A 33532-2024 artfynd.xlsx", "A 33532-2024")</f>
        <v/>
      </c>
      <c r="W17">
        <f>HYPERLINK("https://klasma.github.io/Logging_0586/kartor/A 33532-2024 karta.png", "A 33532-2024")</f>
        <v/>
      </c>
      <c r="Y17">
        <f>HYPERLINK("https://klasma.github.io/Logging_0586/klagomål/A 33532-2024 FSC-klagomål.docx", "A 33532-2024")</f>
        <v/>
      </c>
      <c r="Z17">
        <f>HYPERLINK("https://klasma.github.io/Logging_0586/klagomålsmail/A 33532-2024 FSC-klagomål mail.docx", "A 33532-2024")</f>
        <v/>
      </c>
      <c r="AA17">
        <f>HYPERLINK("https://klasma.github.io/Logging_0586/tillsyn/A 33532-2024 tillsynsbegäran.docx", "A 33532-2024")</f>
        <v/>
      </c>
      <c r="AB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46216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Skogsduva</t>
        </is>
      </c>
      <c r="V18">
        <f>HYPERLINK("https://klasma.github.io/Logging_0586/artfynd/A 45164-2023 artfynd.xlsx", "A 45164-2023")</f>
        <v/>
      </c>
      <c r="W18">
        <f>HYPERLINK("https://klasma.github.io/Logging_0586/kartor/A 45164-2023 karta.png", "A 45164-2023")</f>
        <v/>
      </c>
      <c r="Y18">
        <f>HYPERLINK("https://klasma.github.io/Logging_0586/klagomål/A 45164-2023 FSC-klagomål.docx", "A 45164-2023")</f>
        <v/>
      </c>
      <c r="Z18">
        <f>HYPERLINK("https://klasma.github.io/Logging_0586/klagomålsmail/A 45164-2023 FSC-klagomål mail.docx", "A 45164-2023")</f>
        <v/>
      </c>
      <c r="AA18">
        <f>HYPERLINK("https://klasma.github.io/Logging_0586/tillsyn/A 45164-2023 tillsynsbegäran.docx", "A 45164-2023")</f>
        <v/>
      </c>
      <c r="AB18">
        <f>HYPERLINK("https://klasma.github.io/Logging_0586/tillsynsmail/A 45164-2023 tillsynsbegäran mail.docx", "A 45164-2023")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46216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Vårstarr</t>
        </is>
      </c>
      <c r="V19">
        <f>HYPERLINK("https://klasma.github.io/Logging_0586/artfynd/A 51642-2021 artfynd.xlsx", "A 51642-2021")</f>
        <v/>
      </c>
      <c r="W19">
        <f>HYPERLINK("https://klasma.github.io/Logging_0586/kartor/A 51642-2021 karta.png", "A 51642-2021")</f>
        <v/>
      </c>
      <c r="Y19">
        <f>HYPERLINK("https://klasma.github.io/Logging_0586/klagomål/A 51642-2021 FSC-klagomål.docx", "A 51642-2021")</f>
        <v/>
      </c>
      <c r="Z19">
        <f>HYPERLINK("https://klasma.github.io/Logging_0586/klagomålsmail/A 51642-2021 FSC-klagomål mail.docx", "A 51642-2021")</f>
        <v/>
      </c>
      <c r="AA19">
        <f>HYPERLINK("https://klasma.github.io/Logging_0586/tillsyn/A 51642-2021 tillsynsbegäran.docx", "A 51642-2021")</f>
        <v/>
      </c>
      <c r="AB19">
        <f>HYPERLINK("https://klasma.github.io/Logging_0586/tillsynsmail/A 51642-2021 tillsynsbegäran mail.docx", "A 51642-2021")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46216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Vårstarr</t>
        </is>
      </c>
      <c r="V20">
        <f>HYPERLINK("https://klasma.github.io/Logging_0586/artfynd/A 51642-2021 artfynd.xlsx", "A 51642-2021")</f>
        <v/>
      </c>
      <c r="W20">
        <f>HYPERLINK("https://klasma.github.io/Logging_0586/kartor/A 51642-2021 karta.png", "A 51642-2021")</f>
        <v/>
      </c>
      <c r="Y20">
        <f>HYPERLINK("https://klasma.github.io/Logging_0586/klagomål/A 51642-2021 FSC-klagomål.docx", "A 51642-2021")</f>
        <v/>
      </c>
      <c r="Z20">
        <f>HYPERLINK("https://klasma.github.io/Logging_0586/klagomålsmail/A 51642-2021 FSC-klagomål mail.docx", "A 51642-2021")</f>
        <v/>
      </c>
      <c r="AA20">
        <f>HYPERLINK("https://klasma.github.io/Logging_0586/tillsyn/A 51642-2021 tillsynsbegäran.docx", "A 51642-2021")</f>
        <v/>
      </c>
      <c r="AB20">
        <f>HYPERLINK("https://klasma.github.io/Logging_0586/tillsynsmail/A 51642-2021 tillsynsbegäran mail.docx", "A 51642-2021")</f>
        <v/>
      </c>
    </row>
    <row r="21" ht="15" customHeight="1">
      <c r="A21" t="inlineStr">
        <is>
          <t>A 44468-2021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44435</v>
      </c>
      <c r="E21" s="1" t="n">
        <v>46216</v>
      </c>
      <c r="F21" t="inlineStr">
        <is>
          <t>ÖSTERGÖTLANDS LÄN</t>
        </is>
      </c>
      <c r="G21" t="inlineStr">
        <is>
          <t>MJÖLBY</t>
        </is>
      </c>
      <c r="H21" t="inlineStr">
        <is>
          <t>Kommuner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HYPERLINK("https://klasma.github.io/Logging_0586/artfynd/A 44468-2021 artfynd.xlsx", "A 44468-2021")</f>
        <v/>
      </c>
      <c r="W21">
        <f>HYPERLINK("https://klasma.github.io/Logging_0586/kartor/A 44468-2021 karta.png", "A 44468-2021")</f>
        <v/>
      </c>
      <c r="Y21">
        <f>HYPERLINK("https://klasma.github.io/Logging_0586/klagomål/A 44468-2021 FSC-klagomål.docx", "A 44468-2021")</f>
        <v/>
      </c>
      <c r="Z21">
        <f>HYPERLINK("https://klasma.github.io/Logging_0586/klagomålsmail/A 44468-2021 FSC-klagomål mail.docx", "A 44468-2021")</f>
        <v/>
      </c>
      <c r="AA21">
        <f>HYPERLINK("https://klasma.github.io/Logging_0586/tillsyn/A 44468-2021 tillsynsbegäran.docx", "A 44468-2021")</f>
        <v/>
      </c>
      <c r="AB21">
        <f>HYPERLINK("https://klasma.github.io/Logging_0586/tillsynsmail/A 44468-2021 tillsynsbegäran mail.docx", "A 44468-2021")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46216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Springkorn</t>
        </is>
      </c>
      <c r="V22">
        <f>HYPERLINK("https://klasma.github.io/Logging_0586/artfynd/A 50403-2022 artfynd.xlsx", "A 50403-2022")</f>
        <v/>
      </c>
      <c r="W22">
        <f>HYPERLINK("https://klasma.github.io/Logging_0586/kartor/A 50403-2022 karta.png", "A 50403-2022")</f>
        <v/>
      </c>
      <c r="Y22">
        <f>HYPERLINK("https://klasma.github.io/Logging_0586/klagomål/A 50403-2022 FSC-klagomål.docx", "A 50403-2022")</f>
        <v/>
      </c>
      <c r="Z22">
        <f>HYPERLINK("https://klasma.github.io/Logging_0586/klagomålsmail/A 50403-2022 FSC-klagomål mail.docx", "A 50403-2022")</f>
        <v/>
      </c>
      <c r="AA22">
        <f>HYPERLINK("https://klasma.github.io/Logging_0586/tillsyn/A 50403-2022 tillsynsbegäran.docx", "A 50403-2022")</f>
        <v/>
      </c>
      <c r="AB22">
        <f>HYPERLINK("https://klasma.github.io/Logging_0586/tillsynsmail/A 50403-2022 tillsynsbegäran mail.docx", "A 50403-2022")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46216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Skogsduva</t>
        </is>
      </c>
      <c r="V23">
        <f>HYPERLINK("https://klasma.github.io/Logging_0586/artfynd/A 53521-2023 artfynd.xlsx", "A 53521-2023")</f>
        <v/>
      </c>
      <c r="W23">
        <f>HYPERLINK("https://klasma.github.io/Logging_0586/kartor/A 53521-2023 karta.png", "A 53521-2023")</f>
        <v/>
      </c>
      <c r="Y23">
        <f>HYPERLINK("https://klasma.github.io/Logging_0586/klagomål/A 53521-2023 FSC-klagomål.docx", "A 53521-2023")</f>
        <v/>
      </c>
      <c r="Z23">
        <f>HYPERLINK("https://klasma.github.io/Logging_0586/klagomålsmail/A 53521-2023 FSC-klagomål mail.docx", "A 53521-2023")</f>
        <v/>
      </c>
      <c r="AA23">
        <f>HYPERLINK("https://klasma.github.io/Logging_0586/tillsyn/A 53521-2023 tillsynsbegäran.docx", "A 53521-2023")</f>
        <v/>
      </c>
      <c r="AB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46216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Fläcknycklar</t>
        </is>
      </c>
      <c r="V24">
        <f>HYPERLINK("https://klasma.github.io/Logging_0586/artfynd/A 2230-2025 artfynd.xlsx", "A 2230-2025")</f>
        <v/>
      </c>
      <c r="W24">
        <f>HYPERLINK("https://klasma.github.io/Logging_0586/kartor/A 2230-2025 karta.png", "A 2230-2025")</f>
        <v/>
      </c>
      <c r="Y24">
        <f>HYPERLINK("https://klasma.github.io/Logging_0586/klagomål/A 2230-2025 FSC-klagomål.docx", "A 2230-2025")</f>
        <v/>
      </c>
      <c r="Z24">
        <f>HYPERLINK("https://klasma.github.io/Logging_0586/klagomålsmail/A 2230-2025 FSC-klagomål mail.docx", "A 2230-2025")</f>
        <v/>
      </c>
      <c r="AA24">
        <f>HYPERLINK("https://klasma.github.io/Logging_0586/tillsyn/A 2230-2025 tillsynsbegäran.docx", "A 2230-2025")</f>
        <v/>
      </c>
      <c r="AB24">
        <f>HYPERLINK("https://klasma.github.io/Logging_0586/tillsynsmail/A 2230-2025 tillsynsbegäran mail.docx", "A 2230-2025")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46216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46216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46216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46216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56458-2021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44480</v>
      </c>
      <c r="E29" s="1" t="n">
        <v>46216</v>
      </c>
      <c r="F29" t="inlineStr">
        <is>
          <t>ÖSTERGÖTLANDS LÄN</t>
        </is>
      </c>
      <c r="G29" t="inlineStr">
        <is>
          <t>MJÖLBY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46216</v>
      </c>
      <c r="F30" t="inlineStr">
        <is>
          <t>ÖSTERGÖTLANDS LÄN</t>
        </is>
      </c>
      <c r="G30" t="inlineStr">
        <is>
          <t>MJÖLBY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46216</v>
      </c>
      <c r="F31" t="inlineStr">
        <is>
          <t>ÖSTERGÖTLANDS LÄN</t>
        </is>
      </c>
      <c r="G31" t="inlineStr">
        <is>
          <t>MJÖLBY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19352-2022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44692</v>
      </c>
      <c r="E32" s="1" t="n">
        <v>46216</v>
      </c>
      <c r="F32" t="inlineStr">
        <is>
          <t>ÖSTERGÖTLANDS LÄN</t>
        </is>
      </c>
      <c r="G32" t="inlineStr">
        <is>
          <t>MJÖLBY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10950-2022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44627</v>
      </c>
      <c r="E33" s="1" t="n">
        <v>46216</v>
      </c>
      <c r="F33" t="inlineStr">
        <is>
          <t>ÖSTERGÖTLANDS LÄN</t>
        </is>
      </c>
      <c r="G33" t="inlineStr">
        <is>
          <t>MJÖLBY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50901-2024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45602</v>
      </c>
      <c r="E34" s="1" t="n">
        <v>46216</v>
      </c>
      <c r="F34" t="inlineStr">
        <is>
          <t>ÖSTERGÖTLANDS LÄN</t>
        </is>
      </c>
      <c r="G34" t="inlineStr">
        <is>
          <t>MJÖLBY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3877-2023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46216</v>
      </c>
      <c r="F35" t="inlineStr">
        <is>
          <t>ÖSTERGÖTLANDS LÄN</t>
        </is>
      </c>
      <c r="G35" t="inlineStr">
        <is>
          <t>MJÖLBY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46216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46216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46216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46216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46216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43012-2024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45567</v>
      </c>
      <c r="E41" s="1" t="n">
        <v>46216</v>
      </c>
      <c r="F41" t="inlineStr">
        <is>
          <t>ÖSTERGÖTLANDS LÄN</t>
        </is>
      </c>
      <c r="G41" t="inlineStr">
        <is>
          <t>MJÖLBY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72563-2021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46216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16304-2024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45407</v>
      </c>
      <c r="E43" s="1" t="n">
        <v>46216</v>
      </c>
      <c r="F43" t="inlineStr">
        <is>
          <t>ÖSTERGÖTLANDS LÄN</t>
        </is>
      </c>
      <c r="G43" t="inlineStr">
        <is>
          <t>MJÖLBY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22328-2024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46216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64930-2023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45282</v>
      </c>
      <c r="E45" s="1" t="n">
        <v>46216</v>
      </c>
      <c r="F45" t="inlineStr">
        <is>
          <t>ÖSTERGÖTLANDS LÄN</t>
        </is>
      </c>
      <c r="G45" t="inlineStr">
        <is>
          <t>MJÖLBY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38299-2023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46216</v>
      </c>
      <c r="F46" t="inlineStr">
        <is>
          <t>ÖSTERGÖTLANDS LÄN</t>
        </is>
      </c>
      <c r="G46" t="inlineStr">
        <is>
          <t>MJÖLBY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40667-2023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45170</v>
      </c>
      <c r="E47" s="1" t="n">
        <v>46216</v>
      </c>
      <c r="F47" t="inlineStr">
        <is>
          <t>ÖSTERGÖTLANDS LÄN</t>
        </is>
      </c>
      <c r="G47" t="inlineStr">
        <is>
          <t>MJÖLBY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18740-2025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46216</v>
      </c>
      <c r="F48" t="inlineStr">
        <is>
          <t>ÖSTERGÖTLANDS LÄN</t>
        </is>
      </c>
      <c r="G48" t="inlineStr">
        <is>
          <t>MJÖLBY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9125-2023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44980</v>
      </c>
      <c r="E49" s="1" t="n">
        <v>46216</v>
      </c>
      <c r="F49" t="inlineStr">
        <is>
          <t>ÖSTERGÖTLANDS LÄN</t>
        </is>
      </c>
      <c r="G49" t="inlineStr">
        <is>
          <t>MJÖLBY</t>
        </is>
      </c>
      <c r="H49" t="inlineStr">
        <is>
          <t>Kyrkan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46216</v>
      </c>
      <c r="F50" t="inlineStr">
        <is>
          <t>ÖSTERGÖTLANDS LÄN</t>
        </is>
      </c>
      <c r="G50" t="inlineStr">
        <is>
          <t>MJÖLBY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46216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15783-2022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44663</v>
      </c>
      <c r="E52" s="1" t="n">
        <v>46216</v>
      </c>
      <c r="F52" t="inlineStr">
        <is>
          <t>ÖSTERGÖTLANDS LÄN</t>
        </is>
      </c>
      <c r="G52" t="inlineStr">
        <is>
          <t>MJÖLBY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46216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50179-2023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45208</v>
      </c>
      <c r="E54" s="1" t="n">
        <v>46216</v>
      </c>
      <c r="F54" t="inlineStr">
        <is>
          <t>ÖSTERGÖTLANDS LÄN</t>
        </is>
      </c>
      <c r="G54" t="inlineStr">
        <is>
          <t>MJÖLBY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45221</v>
      </c>
      <c r="E55" s="1" t="n">
        <v>46216</v>
      </c>
      <c r="F55" t="inlineStr">
        <is>
          <t>ÖSTERGÖTLANDS LÄN</t>
        </is>
      </c>
      <c r="G55" t="inlineStr">
        <is>
          <t>MJÖLBY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44971</v>
      </c>
      <c r="E56" s="1" t="n">
        <v>46216</v>
      </c>
      <c r="F56" t="inlineStr">
        <is>
          <t>ÖSTERGÖTLANDS LÄN</t>
        </is>
      </c>
      <c r="G56" t="inlineStr">
        <is>
          <t>MJÖLBY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30468-2025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46216</v>
      </c>
      <c r="F57" t="inlineStr">
        <is>
          <t>ÖSTERGÖTLANDS LÄN</t>
        </is>
      </c>
      <c r="G57" t="inlineStr">
        <is>
          <t>MJÖLBY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43026-2025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46216</v>
      </c>
      <c r="F58" t="inlineStr">
        <is>
          <t>ÖSTERGÖTLANDS LÄN</t>
        </is>
      </c>
      <c r="G58" t="inlineStr">
        <is>
          <t>MJÖLBY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23781-2025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46216</v>
      </c>
      <c r="F59" t="inlineStr">
        <is>
          <t>ÖSTERGÖTLANDS LÄN</t>
        </is>
      </c>
      <c r="G59" t="inlineStr">
        <is>
          <t>MJÖLBY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46216</v>
      </c>
      <c r="F60" t="inlineStr">
        <is>
          <t>ÖSTERGÖTLANDS LÄN</t>
        </is>
      </c>
      <c r="G60" t="inlineStr">
        <is>
          <t>MJÖLBY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31624-2025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46216</v>
      </c>
      <c r="F61" t="inlineStr">
        <is>
          <t>ÖSTERGÖTLANDS LÄN</t>
        </is>
      </c>
      <c r="G61" t="inlineStr">
        <is>
          <t>MJÖLBY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31623-2025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46216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58412-2023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46216</v>
      </c>
      <c r="F63" t="inlineStr">
        <is>
          <t>ÖSTERGÖTLANDS LÄN</t>
        </is>
      </c>
      <c r="G63" t="inlineStr">
        <is>
          <t>MJÖLBY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63449-2023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45273</v>
      </c>
      <c r="E64" s="1" t="n">
        <v>46216</v>
      </c>
      <c r="F64" t="inlineStr">
        <is>
          <t>ÖSTERGÖTLANDS LÄN</t>
        </is>
      </c>
      <c r="G64" t="inlineStr">
        <is>
          <t>MJÖLBY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46216</v>
      </c>
      <c r="F65" t="inlineStr">
        <is>
          <t>ÖSTERGÖTLANDS LÄN</t>
        </is>
      </c>
      <c r="G65" t="inlineStr">
        <is>
          <t>MJÖLBY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44752-2025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46216</v>
      </c>
      <c r="F66" t="inlineStr">
        <is>
          <t>ÖSTERGÖTLANDS LÄN</t>
        </is>
      </c>
      <c r="G66" t="inlineStr">
        <is>
          <t>MJÖLBY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46216</v>
      </c>
      <c r="F67" t="inlineStr">
        <is>
          <t>ÖSTERGÖTLANDS LÄN</t>
        </is>
      </c>
      <c r="G67" t="inlineStr">
        <is>
          <t>MJÖLBY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45917</v>
      </c>
      <c r="E68" s="1" t="n">
        <v>46216</v>
      </c>
      <c r="F68" t="inlineStr">
        <is>
          <t>ÖSTERGÖTLANDS LÄN</t>
        </is>
      </c>
      <c r="G68" t="inlineStr">
        <is>
          <t>MJÖLBY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50339-2023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45216</v>
      </c>
      <c r="E69" s="1" t="n">
        <v>46216</v>
      </c>
      <c r="F69" t="inlineStr">
        <is>
          <t>ÖSTERGÖTLANDS LÄN</t>
        </is>
      </c>
      <c r="G69" t="inlineStr">
        <is>
          <t>MJÖLBY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46216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46216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37806-2022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46216</v>
      </c>
      <c r="F72" t="inlineStr">
        <is>
          <t>ÖSTERGÖTLANDS LÄN</t>
        </is>
      </c>
      <c r="G72" t="inlineStr">
        <is>
          <t>MJÖLBY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46144-2025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45924</v>
      </c>
      <c r="E73" s="1" t="n">
        <v>46216</v>
      </c>
      <c r="F73" t="inlineStr">
        <is>
          <t>ÖSTERGÖTLANDS LÄN</t>
        </is>
      </c>
      <c r="G73" t="inlineStr">
        <is>
          <t>MJÖLBY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46216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45681</v>
      </c>
      <c r="E75" s="1" t="n">
        <v>46216</v>
      </c>
      <c r="F75" t="inlineStr">
        <is>
          <t>ÖSTERGÖTLANDS LÄN</t>
        </is>
      </c>
      <c r="G75" t="inlineStr">
        <is>
          <t>MJÖLBY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37802-2022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46216</v>
      </c>
      <c r="F76" t="inlineStr">
        <is>
          <t>ÖSTERGÖTLANDS LÄN</t>
        </is>
      </c>
      <c r="G76" t="inlineStr">
        <is>
          <t>MJÖLBY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46216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65921-2021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46216</v>
      </c>
      <c r="F78" t="inlineStr">
        <is>
          <t>ÖSTERGÖTLANDS LÄN</t>
        </is>
      </c>
      <c r="G78" t="inlineStr">
        <is>
          <t>MJÖLBY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46216</v>
      </c>
      <c r="F79" t="inlineStr">
        <is>
          <t>ÖSTERGÖTLANDS LÄN</t>
        </is>
      </c>
      <c r="G79" t="inlineStr">
        <is>
          <t>MJÖLBY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46216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50181-2023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46216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51326-2025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46216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46216</v>
      </c>
      <c r="F83" t="inlineStr">
        <is>
          <t>ÖSTERGÖTLANDS LÄN</t>
        </is>
      </c>
      <c r="G83" t="inlineStr">
        <is>
          <t>MJÖLBY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44936</v>
      </c>
      <c r="E84" s="1" t="n">
        <v>46216</v>
      </c>
      <c r="F84" t="inlineStr">
        <is>
          <t>ÖSTERGÖTLANDS LÄN</t>
        </is>
      </c>
      <c r="G84" t="inlineStr">
        <is>
          <t>MJÖLBY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46216</v>
      </c>
      <c r="F85" t="inlineStr">
        <is>
          <t>ÖSTERGÖTLANDS LÄN</t>
        </is>
      </c>
      <c r="G85" t="inlineStr">
        <is>
          <t>MJÖLBY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44769-2025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46216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46216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44770-2025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46216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41337-2023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46216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45370</v>
      </c>
      <c r="E90" s="1" t="n">
        <v>46216</v>
      </c>
      <c r="F90" t="inlineStr">
        <is>
          <t>ÖSTERGÖTLANDS LÄN</t>
        </is>
      </c>
      <c r="G90" t="inlineStr">
        <is>
          <t>MJÖLBY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46216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46216</v>
      </c>
      <c r="F92" t="inlineStr">
        <is>
          <t>ÖSTERGÖTLANDS LÄN</t>
        </is>
      </c>
      <c r="G92" t="inlineStr">
        <is>
          <t>MJÖLBY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45979</v>
      </c>
      <c r="E93" s="1" t="n">
        <v>46216</v>
      </c>
      <c r="F93" t="inlineStr">
        <is>
          <t>ÖSTERGÖTLANDS LÄN</t>
        </is>
      </c>
      <c r="G93" t="inlineStr">
        <is>
          <t>MJÖLBY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57194-2025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45979</v>
      </c>
      <c r="E94" s="1" t="n">
        <v>46216</v>
      </c>
      <c r="F94" t="inlineStr">
        <is>
          <t>ÖSTERGÖTLANDS LÄN</t>
        </is>
      </c>
      <c r="G94" t="inlineStr">
        <is>
          <t>MJÖLBY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57942-2025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45982</v>
      </c>
      <c r="E95" s="1" t="n">
        <v>46216</v>
      </c>
      <c r="F95" t="inlineStr">
        <is>
          <t>ÖSTERGÖTLANDS LÄN</t>
        </is>
      </c>
      <c r="G95" t="inlineStr">
        <is>
          <t>MJÖLBY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45376</v>
      </c>
      <c r="E96" s="1" t="n">
        <v>46216</v>
      </c>
      <c r="F96" t="inlineStr">
        <is>
          <t>ÖSTERGÖTLANDS LÄN</t>
        </is>
      </c>
      <c r="G96" t="inlineStr">
        <is>
          <t>MJÖLBY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46216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46216</v>
      </c>
      <c r="F98" t="inlineStr">
        <is>
          <t>ÖSTERGÖTLANDS LÄN</t>
        </is>
      </c>
      <c r="G98" t="inlineStr">
        <is>
          <t>MJÖLBY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58756-2025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46216</v>
      </c>
      <c r="F99" t="inlineStr">
        <is>
          <t>ÖSTERGÖTLANDS LÄN</t>
        </is>
      </c>
      <c r="G99" t="inlineStr">
        <is>
          <t>MJÖLBY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46216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58761-2025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46216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46216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59234-2022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44904</v>
      </c>
      <c r="E103" s="1" t="n">
        <v>46216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2715-2022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44580</v>
      </c>
      <c r="E104" s="1" t="n">
        <v>46216</v>
      </c>
      <c r="F104" t="inlineStr">
        <is>
          <t>ÖSTERGÖTLANDS LÄN</t>
        </is>
      </c>
      <c r="G104" t="inlineStr">
        <is>
          <t>MJÖLBY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45301</v>
      </c>
      <c r="E105" s="1" t="n">
        <v>46216</v>
      </c>
      <c r="F105" t="inlineStr">
        <is>
          <t>ÖSTERGÖTLANDS LÄN</t>
        </is>
      </c>
      <c r="G105" t="inlineStr">
        <is>
          <t>MJÖLBY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46216</v>
      </c>
      <c r="F106" t="inlineStr">
        <is>
          <t>ÖSTERGÖTLANDS LÄN</t>
        </is>
      </c>
      <c r="G106" t="inlineStr">
        <is>
          <t>MJÖLBY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34662-2024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46216</v>
      </c>
      <c r="F107" t="inlineStr">
        <is>
          <t>ÖSTERGÖTLANDS LÄN</t>
        </is>
      </c>
      <c r="G107" t="inlineStr">
        <is>
          <t>MJÖLBY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46216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46216</v>
      </c>
      <c r="F109" t="inlineStr">
        <is>
          <t>ÖSTERGÖTLANDS LÄN</t>
        </is>
      </c>
      <c r="G109" t="inlineStr">
        <is>
          <t>MJÖLBY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62391-2025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46216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Kyrkan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62570-2023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45269</v>
      </c>
      <c r="E111" s="1" t="n">
        <v>46216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11064-2026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46216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50883-2024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46216</v>
      </c>
      <c r="F113" t="inlineStr">
        <is>
          <t>ÖSTERGÖTLANDS LÄN</t>
        </is>
      </c>
      <c r="G113" t="inlineStr">
        <is>
          <t>MJÖLBY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45602</v>
      </c>
      <c r="E114" s="1" t="n">
        <v>46216</v>
      </c>
      <c r="F114" t="inlineStr">
        <is>
          <t>ÖSTERGÖTLANDS LÄN</t>
        </is>
      </c>
      <c r="G114" t="inlineStr">
        <is>
          <t>MJÖLBY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46216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46216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4314-2024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45324</v>
      </c>
      <c r="E117" s="1" t="n">
        <v>46216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Kyrkan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12769-2024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45384</v>
      </c>
      <c r="E118" s="1" t="n">
        <v>46216</v>
      </c>
      <c r="F118" t="inlineStr">
        <is>
          <t>ÖSTERGÖTLANDS LÄN</t>
        </is>
      </c>
      <c r="G118" t="inlineStr">
        <is>
          <t>MJÖLBY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49915-2024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46216</v>
      </c>
      <c r="F119" t="inlineStr">
        <is>
          <t>ÖSTERGÖTLANDS LÄN</t>
        </is>
      </c>
      <c r="G119" t="inlineStr">
        <is>
          <t>MJÖLBY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15032-2026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46216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14928-2026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46216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41819-2023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45176</v>
      </c>
      <c r="E122" s="1" t="n">
        <v>46216</v>
      </c>
      <c r="F122" t="inlineStr">
        <is>
          <t>ÖSTERGÖTLANDS LÄN</t>
        </is>
      </c>
      <c r="G122" t="inlineStr">
        <is>
          <t>MJÖLBY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58415-2021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46216</v>
      </c>
      <c r="F123" t="inlineStr">
        <is>
          <t>ÖSTERGÖTLANDS LÄN</t>
        </is>
      </c>
      <c r="G123" t="inlineStr">
        <is>
          <t>MJÖLBY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16110-2026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46216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22307-2024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46216</v>
      </c>
      <c r="F125" t="inlineStr">
        <is>
          <t>ÖSTERGÖTLANDS LÄN</t>
        </is>
      </c>
      <c r="G125" t="inlineStr">
        <is>
          <t>MJÖLBY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46240-2021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44442</v>
      </c>
      <c r="E126" s="1" t="n">
        <v>46216</v>
      </c>
      <c r="F126" t="inlineStr">
        <is>
          <t>ÖSTERGÖTLANDS LÄN</t>
        </is>
      </c>
      <c r="G126" t="inlineStr">
        <is>
          <t>MJÖLBY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16173-2026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46216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34431-2022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44792</v>
      </c>
      <c r="E128" s="1" t="n">
        <v>46216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Kommuner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17700-2026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46216</v>
      </c>
      <c r="F129" t="inlineStr">
        <is>
          <t>ÖSTERGÖTLANDS LÄN</t>
        </is>
      </c>
      <c r="G129" t="inlineStr">
        <is>
          <t>MJÖLBY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17699-2026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46216</v>
      </c>
      <c r="F130" t="inlineStr">
        <is>
          <t>ÖSTERGÖTLANDS LÄN</t>
        </is>
      </c>
      <c r="G130" t="inlineStr">
        <is>
          <t>MJÖLBY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46216</v>
      </c>
      <c r="F131" t="inlineStr">
        <is>
          <t>ÖSTERGÖTLANDS LÄN</t>
        </is>
      </c>
      <c r="G131" t="inlineStr">
        <is>
          <t>MJÖLBY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18517-2026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46127</v>
      </c>
      <c r="E132" s="1" t="n">
        <v>46216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24888-2026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46174</v>
      </c>
      <c r="E133" s="1" t="n">
        <v>46216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24900-2026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46174</v>
      </c>
      <c r="E134" s="1" t="n">
        <v>46216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60964-2023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45261</v>
      </c>
      <c r="E135" s="1" t="n">
        <v>46216</v>
      </c>
      <c r="F135" t="inlineStr">
        <is>
          <t>ÖSTERGÖTLANDS LÄN</t>
        </is>
      </c>
      <c r="G135" t="inlineStr">
        <is>
          <t>MJÖLBY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46216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24894-2026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46216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24896-2026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46216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24903-2026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46174</v>
      </c>
      <c r="E139" s="1" t="n">
        <v>46216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25503-2026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46216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29580-2025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45825</v>
      </c>
      <c r="E141" s="1" t="n">
        <v>46216</v>
      </c>
      <c r="F141" t="inlineStr">
        <is>
          <t>ÖSTERGÖTLANDS LÄN</t>
        </is>
      </c>
      <c r="G141" t="inlineStr">
        <is>
          <t>MJÖLBY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42042-2023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45177</v>
      </c>
      <c r="E142" s="1" t="n">
        <v>46216</v>
      </c>
      <c r="F142" t="inlineStr">
        <is>
          <t>ÖSTERGÖTLANDS LÄN</t>
        </is>
      </c>
      <c r="G142" t="inlineStr">
        <is>
          <t>MJÖLBY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27251-2025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46216</v>
      </c>
      <c r="F143" t="inlineStr">
        <is>
          <t>ÖSTERGÖTLANDS LÄN</t>
        </is>
      </c>
      <c r="G143" t="inlineStr">
        <is>
          <t>MJÖLBY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41105-2025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46216</v>
      </c>
      <c r="F144" t="inlineStr">
        <is>
          <t>ÖSTERGÖTLANDS LÄN</t>
        </is>
      </c>
      <c r="G144" t="inlineStr">
        <is>
          <t>MJÖLBY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64934-2023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45282</v>
      </c>
      <c r="E145" s="1" t="n">
        <v>46216</v>
      </c>
      <c r="F145" t="inlineStr">
        <is>
          <t>ÖSTERGÖTLANDS LÄN</t>
        </is>
      </c>
      <c r="G145" t="inlineStr">
        <is>
          <t>MJÖLBY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39965-2025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45892</v>
      </c>
      <c r="E146" s="1" t="n">
        <v>46216</v>
      </c>
      <c r="F146" t="inlineStr">
        <is>
          <t>ÖSTERGÖTLANDS LÄN</t>
        </is>
      </c>
      <c r="G146" t="inlineStr">
        <is>
          <t>MJÖLBY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37631-2023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45159</v>
      </c>
      <c r="E147" s="1" t="n">
        <v>46216</v>
      </c>
      <c r="F147" t="inlineStr">
        <is>
          <t>ÖSTERGÖTLANDS LÄN</t>
        </is>
      </c>
      <c r="G147" t="inlineStr">
        <is>
          <t>MJÖLBY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45673</v>
      </c>
      <c r="E148" s="1" t="n">
        <v>46216</v>
      </c>
      <c r="F148" t="inlineStr">
        <is>
          <t>ÖSTERGÖTLANDS LÄN</t>
        </is>
      </c>
      <c r="G148" t="inlineStr">
        <is>
          <t>MJÖLBY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28321-2025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46216</v>
      </c>
      <c r="F149" t="inlineStr">
        <is>
          <t>ÖSTERGÖTLANDS LÄN</t>
        </is>
      </c>
      <c r="G149" t="inlineStr">
        <is>
          <t>MJÖLBY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27255-2025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46216</v>
      </c>
      <c r="F150" t="inlineStr">
        <is>
          <t>ÖSTERGÖTLANDS LÄN</t>
        </is>
      </c>
      <c r="G150" t="inlineStr">
        <is>
          <t>MJÖLBY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59410-2022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44907</v>
      </c>
      <c r="E151" s="1" t="n">
        <v>46216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59411-2022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44907</v>
      </c>
      <c r="E152" s="1" t="n">
        <v>46216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45677</v>
      </c>
      <c r="E153" s="1" t="n">
        <v>46216</v>
      </c>
      <c r="F153" t="inlineStr">
        <is>
          <t>ÖSTERGÖTLANDS LÄN</t>
        </is>
      </c>
      <c r="G153" t="inlineStr">
        <is>
          <t>MJÖLBY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20357-2026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46139</v>
      </c>
      <c r="E154" s="1" t="n">
        <v>46216</v>
      </c>
      <c r="F154" t="inlineStr">
        <is>
          <t>ÖSTERGÖTLANDS LÄN</t>
        </is>
      </c>
      <c r="G154" t="inlineStr">
        <is>
          <t>MJÖLBY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31010-2022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44768</v>
      </c>
      <c r="E155" s="1" t="n">
        <v>46216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34521-2024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45525</v>
      </c>
      <c r="E156" s="1" t="n">
        <v>46216</v>
      </c>
      <c r="F156" t="inlineStr">
        <is>
          <t>ÖSTERGÖTLANDS LÄN</t>
        </is>
      </c>
      <c r="G156" t="inlineStr">
        <is>
          <t>MJÖLBY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8658-2022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46216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46216</v>
      </c>
      <c r="F158" t="inlineStr">
        <is>
          <t>ÖSTERGÖTLANDS LÄN</t>
        </is>
      </c>
      <c r="G158" t="inlineStr">
        <is>
          <t>MJÖLBY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46007</v>
      </c>
      <c r="E159" s="1" t="n">
        <v>46216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Kommuner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60977-2023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46216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46216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12254-2024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46216</v>
      </c>
      <c r="F162" t="inlineStr">
        <is>
          <t>ÖSTERGÖTLANDS LÄN</t>
        </is>
      </c>
      <c r="G162" t="inlineStr">
        <is>
          <t>MJÖLBY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52655-2023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45225</v>
      </c>
      <c r="E163" s="1" t="n">
        <v>46216</v>
      </c>
      <c r="F163" t="inlineStr">
        <is>
          <t>ÖSTERGÖTLANDS LÄN</t>
        </is>
      </c>
      <c r="G163" t="inlineStr">
        <is>
          <t>MJÖLBY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24866-2023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45085</v>
      </c>
      <c r="E164" s="1" t="n">
        <v>46216</v>
      </c>
      <c r="F164" t="inlineStr">
        <is>
          <t>ÖSTERGÖTLANDS LÄN</t>
        </is>
      </c>
      <c r="G164" t="inlineStr">
        <is>
          <t>MJÖLBY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39950-2024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46216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27126-2026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46188</v>
      </c>
      <c r="E166" s="1" t="n">
        <v>46216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27137-2026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46216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11270-2022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44629</v>
      </c>
      <c r="E168" s="1" t="n">
        <v>46216</v>
      </c>
      <c r="F168" t="inlineStr">
        <is>
          <t>ÖSTERGÖTLANDS LÄN</t>
        </is>
      </c>
      <c r="G168" t="inlineStr">
        <is>
          <t>MJÖLBY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68095-2021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46216</v>
      </c>
      <c r="F169" t="inlineStr">
        <is>
          <t>ÖSTERGÖTLANDS LÄN</t>
        </is>
      </c>
      <c r="G169" t="inlineStr">
        <is>
          <t>MJÖLBY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21518-2026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46216</v>
      </c>
      <c r="F170" t="inlineStr">
        <is>
          <t>ÖSTERGÖTLANDS LÄN</t>
        </is>
      </c>
      <c r="G170" t="inlineStr">
        <is>
          <t>MJÖLBY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58800-2022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44903</v>
      </c>
      <c r="E171" s="1" t="n">
        <v>46216</v>
      </c>
      <c r="F171" t="inlineStr">
        <is>
          <t>ÖSTERGÖTLANDS LÄN</t>
        </is>
      </c>
      <c r="G171" t="inlineStr">
        <is>
          <t>MJÖLBY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44957</v>
      </c>
      <c r="E172" s="1" t="n">
        <v>46216</v>
      </c>
      <c r="F172" t="inlineStr">
        <is>
          <t>ÖSTERGÖTLANDS LÄN</t>
        </is>
      </c>
      <c r="G172" t="inlineStr">
        <is>
          <t>MJÖLBY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11478-2024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46216</v>
      </c>
      <c r="F173" t="inlineStr">
        <is>
          <t>ÖSTERGÖTLANDS LÄN</t>
        </is>
      </c>
      <c r="G173" t="inlineStr">
        <is>
          <t>MJÖLBY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51630-2021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46216</v>
      </c>
      <c r="F174" t="inlineStr">
        <is>
          <t>ÖSTERGÖTLANDS LÄN</t>
        </is>
      </c>
      <c r="G174" t="inlineStr">
        <is>
          <t>MJÖLBY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32581-2025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45838</v>
      </c>
      <c r="E175" s="1" t="n">
        <v>46216</v>
      </c>
      <c r="F175" t="inlineStr">
        <is>
          <t>ÖSTERGÖTLANDS LÄN</t>
        </is>
      </c>
      <c r="G175" t="inlineStr">
        <is>
          <t>MJÖLBY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28131-2026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46216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46216</v>
      </c>
      <c r="F177" t="inlineStr">
        <is>
          <t>ÖSTERGÖTLANDS LÄN</t>
        </is>
      </c>
      <c r="G177" t="inlineStr">
        <is>
          <t>MJÖLBY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46216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46216</v>
      </c>
      <c r="F179" t="inlineStr">
        <is>
          <t>ÖSTERGÖTLANDS LÄN</t>
        </is>
      </c>
      <c r="G179" t="inlineStr">
        <is>
          <t>MJÖLBY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28525-2026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46216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50906-2024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46216</v>
      </c>
      <c r="F181" t="inlineStr">
        <is>
          <t>ÖSTERGÖTLANDS LÄN</t>
        </is>
      </c>
      <c r="G181" t="inlineStr">
        <is>
          <t>MJÖLBY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28652-2026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46216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6785-2024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45342</v>
      </c>
      <c r="E183" s="1" t="n">
        <v>46216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Kyrkan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55730-2022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44888</v>
      </c>
      <c r="E184" s="1" t="n">
        <v>46216</v>
      </c>
      <c r="F184" t="inlineStr">
        <is>
          <t>ÖSTERGÖTLANDS LÄN</t>
        </is>
      </c>
      <c r="G184" t="inlineStr">
        <is>
          <t>MJÖLBY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53520-2022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46216</v>
      </c>
      <c r="F185" t="inlineStr">
        <is>
          <t>ÖSTERGÖTLANDS LÄN</t>
        </is>
      </c>
      <c r="G185" t="inlineStr">
        <is>
          <t>MJÖLBY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35404-2023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46216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61012-2023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45259</v>
      </c>
      <c r="E187" s="1" t="n">
        <v>46216</v>
      </c>
      <c r="F187" t="inlineStr">
        <is>
          <t>ÖSTERGÖTLANDS LÄN</t>
        </is>
      </c>
      <c r="G187" t="inlineStr">
        <is>
          <t>MJÖLBY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15467-2023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46216</v>
      </c>
      <c r="F188" t="inlineStr">
        <is>
          <t>ÖSTERGÖTLANDS LÄN</t>
        </is>
      </c>
      <c r="G188" t="inlineStr">
        <is>
          <t>MJÖLBY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72558-2021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44546</v>
      </c>
      <c r="E189" s="1" t="n">
        <v>46216</v>
      </c>
      <c r="F189" t="inlineStr">
        <is>
          <t>ÖSTERGÖTLANDS LÄN</t>
        </is>
      </c>
      <c r="G189" t="inlineStr">
        <is>
          <t>MJÖLBY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35447-2023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45146</v>
      </c>
      <c r="E190" s="1" t="n">
        <v>46216</v>
      </c>
      <c r="F190" t="inlineStr">
        <is>
          <t>ÖSTERGÖTLANDS LÄN</t>
        </is>
      </c>
      <c r="G190" t="inlineStr">
        <is>
          <t>MJÖLBY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79-2024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45293</v>
      </c>
      <c r="E191" s="1" t="n">
        <v>46216</v>
      </c>
      <c r="F191" t="inlineStr">
        <is>
          <t>ÖSTERGÖTLANDS LÄN</t>
        </is>
      </c>
      <c r="G191" t="inlineStr">
        <is>
          <t>MJÖLBY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46216</v>
      </c>
      <c r="F192" t="inlineStr">
        <is>
          <t>ÖSTERGÖTLANDS LÄN</t>
        </is>
      </c>
      <c r="G192" t="inlineStr">
        <is>
          <t>MJÖLBY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24139-2026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46168</v>
      </c>
      <c r="E193" s="1" t="n">
        <v>46216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24786-2026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46171</v>
      </c>
      <c r="E194" s="1" t="n">
        <v>46216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24457-2026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46170</v>
      </c>
      <c r="E195" s="1" t="n">
        <v>46216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66977-2021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46216</v>
      </c>
      <c r="F196" t="inlineStr">
        <is>
          <t>ÖSTERGÖTLANDS LÄN</t>
        </is>
      </c>
      <c r="G196" t="inlineStr">
        <is>
          <t>MJÖLBY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49566-2021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44455</v>
      </c>
      <c r="E197" s="1" t="n">
        <v>46216</v>
      </c>
      <c r="F197" t="inlineStr">
        <is>
          <t>ÖSTERGÖTLANDS LÄN</t>
        </is>
      </c>
      <c r="G197" t="inlineStr">
        <is>
          <t>MJÖLBY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15276-2022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44659</v>
      </c>
      <c r="E198" s="1" t="n">
        <v>46216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Kyrkan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17707-2023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45037</v>
      </c>
      <c r="E199" s="1" t="n">
        <v>46216</v>
      </c>
      <c r="F199" t="inlineStr">
        <is>
          <t>ÖSTERGÖTLANDS LÄN</t>
        </is>
      </c>
      <c r="G199" t="inlineStr">
        <is>
          <t>MJÖLBY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46248-2024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46216</v>
      </c>
      <c r="F200" t="inlineStr">
        <is>
          <t>ÖSTERGÖTLANDS LÄN</t>
        </is>
      </c>
      <c r="G200" t="inlineStr">
        <is>
          <t>MJÖLBY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61575-2023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46216</v>
      </c>
      <c r="F201" t="inlineStr">
        <is>
          <t>ÖSTERGÖTLANDS LÄN</t>
        </is>
      </c>
      <c r="G201" t="inlineStr">
        <is>
          <t>MJÖLBY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34664-2024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45526</v>
      </c>
      <c r="E202" s="1" t="n">
        <v>46216</v>
      </c>
      <c r="F202" t="inlineStr">
        <is>
          <t>ÖSTERGÖTLANDS LÄN</t>
        </is>
      </c>
      <c r="G202" t="inlineStr">
        <is>
          <t>MJÖLBY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37083-2024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45539</v>
      </c>
      <c r="E203" s="1" t="n">
        <v>46216</v>
      </c>
      <c r="F203" t="inlineStr">
        <is>
          <t>ÖSTERGÖTLANDS LÄN</t>
        </is>
      </c>
      <c r="G203" t="inlineStr">
        <is>
          <t>MJÖLBY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46216</v>
      </c>
      <c r="F204" t="inlineStr">
        <is>
          <t>ÖSTERGÖTLANDS LÄN</t>
        </is>
      </c>
      <c r="G204" t="inlineStr">
        <is>
          <t>MJÖLBY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49971-2023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46216</v>
      </c>
      <c r="F205" t="inlineStr">
        <is>
          <t>ÖSTERGÖTLANDS LÄN</t>
        </is>
      </c>
      <c r="G205" t="inlineStr">
        <is>
          <t>MJÖLBY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13560-2025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46216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38278-2024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45545</v>
      </c>
      <c r="E207" s="1" t="n">
        <v>46216</v>
      </c>
      <c r="F207" t="inlineStr">
        <is>
          <t>ÖSTERGÖTLANDS LÄN</t>
        </is>
      </c>
      <c r="G207" t="inlineStr">
        <is>
          <t>MJÖLBY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23114-2025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46216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46216</v>
      </c>
      <c r="F209" t="inlineStr">
        <is>
          <t>ÖSTERGÖTLANDS LÄN</t>
        </is>
      </c>
      <c r="G209" t="inlineStr">
        <is>
          <t>MJÖLBY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45314</v>
      </c>
      <c r="E210" s="1" t="n">
        <v>46216</v>
      </c>
      <c r="F210" t="inlineStr">
        <is>
          <t>ÖSTERGÖTLANDS LÄN</t>
        </is>
      </c>
      <c r="G210" t="inlineStr">
        <is>
          <t>MJÖLBY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24499-2025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46216</v>
      </c>
      <c r="F211" t="inlineStr">
        <is>
          <t>ÖSTERGÖTLANDS LÄN</t>
        </is>
      </c>
      <c r="G211" t="inlineStr">
        <is>
          <t>MJÖLBY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1827-2026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46197</v>
      </c>
      <c r="E212" s="1" t="n">
        <v>46216</v>
      </c>
      <c r="F212" t="inlineStr">
        <is>
          <t>ÖSTERGÖTLANDS LÄN</t>
        </is>
      </c>
      <c r="G212" t="inlineStr">
        <is>
          <t>MJÖLBY</t>
        </is>
      </c>
      <c r="H212" t="inlineStr">
        <is>
          <t>Övriga Aktiebolag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2026-07-13T14:51:07Z</dcterms:created>
  <dcterms:modified xmlns:dcterms="http://purl.org/dc/terms/" xmlns:xsi="http://www.w3.org/2001/XMLSchema-instance" xsi:type="dcterms:W3CDTF">2026-07-13T14:51:08Z</dcterms:modified>
</cp:coreProperties>
</file>