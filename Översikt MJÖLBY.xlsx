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46262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46262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53521-2023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45230</v>
      </c>
      <c r="E7" s="1" t="n">
        <v>46262</v>
      </c>
      <c r="F7" t="inlineStr">
        <is>
          <t>ÖSTERGÖTLANDS LÄN</t>
        </is>
      </c>
      <c r="G7" t="inlineStr">
        <is>
          <t>MJÖLBY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Skogsduva</t>
        </is>
      </c>
      <c r="W7">
        <f>HYPERLINK("https://klasma.github.io/Logging_0586/artfynd/A 53521-2023 artfynd.xlsx", "A 53521-2023")</f>
        <v/>
      </c>
      <c r="X7">
        <f>HYPERLINK("https://klasma.github.io/Logging_0586/kartor/A 53521-2023 karta.png", "A 53521-2023")</f>
        <v/>
      </c>
      <c r="Y7">
        <f>HYPERLINK("https://klasma.github.io/Logging_0586/kartor_geotiff/A 53521-2023 georefererad karta.tif", "A 53521-2023")</f>
        <v/>
      </c>
      <c r="AA7">
        <f>HYPERLINK("https://klasma.github.io/Logging_0586/klagomål/A 53521-2023 FSC-klagomål.docx", "A 53521-2023")</f>
        <v/>
      </c>
      <c r="AB7">
        <f>HYPERLINK("https://klasma.github.io/Logging_0586/klagomålsmail/A 53521-2023 FSC-klagomål mail.docx", "A 53521-2023")</f>
        <v/>
      </c>
      <c r="AC7">
        <f>HYPERLINK("https://klasma.github.io/Logging_0586/tillsyn/A 53521-2023 tillsynsbegäran.docx", "A 53521-2023")</f>
        <v/>
      </c>
      <c r="AD7">
        <f>HYPERLINK("https://klasma.github.io/Logging_0586/tillsynsmail/A 53521-2023 tillsynsbegäran mail.docx", "A 53521-2023")</f>
        <v/>
      </c>
    </row>
    <row r="8" ht="15" customHeight="1">
      <c r="A8" t="inlineStr">
        <is>
          <t>A 13567-2025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45736</v>
      </c>
      <c r="E8" s="1" t="n">
        <v>46262</v>
      </c>
      <c r="F8" t="inlineStr">
        <is>
          <t>ÖSTERGÖTLANDS LÄN</t>
        </is>
      </c>
      <c r="G8" t="inlineStr">
        <is>
          <t>MJÖLBY</t>
        </is>
      </c>
      <c r="I8" t="n">
        <v>4.1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Klubbsprötad bastardsvärmare</t>
        </is>
      </c>
      <c r="W8">
        <f>HYPERLINK("https://klasma.github.io/Logging_0586/artfynd/A 13567-2025 artfynd.xlsx", "A 13567-2025")</f>
        <v/>
      </c>
      <c r="X8">
        <f>HYPERLINK("https://klasma.github.io/Logging_0586/kartor/A 13567-2025 karta.png", "A 13567-2025")</f>
        <v/>
      </c>
      <c r="Y8">
        <f>HYPERLINK("https://klasma.github.io/Logging_0586/kartor_geotiff/A 13567-2025 georefererad karta.tif", "A 13567-2025")</f>
        <v/>
      </c>
      <c r="AA8">
        <f>HYPERLINK("https://klasma.github.io/Logging_0586/klagomål/A 13567-2025 FSC-klagomål.docx", "A 13567-2025")</f>
        <v/>
      </c>
      <c r="AB8">
        <f>HYPERLINK("https://klasma.github.io/Logging_0586/klagomålsmail/A 13567-2025 FSC-klagomål mail.docx", "A 13567-2025")</f>
        <v/>
      </c>
      <c r="AC8">
        <f>HYPERLINK("https://klasma.github.io/Logging_0586/tillsyn/A 13567-2025 tillsynsbegäran.docx", "A 13567-2025")</f>
        <v/>
      </c>
      <c r="AD8">
        <f>HYPERLINK("https://klasma.github.io/Logging_0586/tillsynsmail/A 13567-2025 tillsynsbegäran mail.docx", "A 13567-2025")</f>
        <v/>
      </c>
    </row>
    <row r="9" ht="15" customHeight="1">
      <c r="A9" t="inlineStr">
        <is>
          <t>A 2230-2025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46262</v>
      </c>
      <c r="F9" t="inlineStr">
        <is>
          <t>ÖSTERGÖTLANDS LÄN</t>
        </is>
      </c>
      <c r="G9" t="inlineStr">
        <is>
          <t>MJÖLBY</t>
        </is>
      </c>
      <c r="I9" t="n">
        <v>1.6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Fläcknycklar</t>
        </is>
      </c>
      <c r="W9">
        <f>HYPERLINK("https://klasma.github.io/Logging_0586/artfynd/A 2230-2025 artfynd.xlsx", "A 2230-2025")</f>
        <v/>
      </c>
      <c r="X9">
        <f>HYPERLINK("https://klasma.github.io/Logging_0586/kartor/A 2230-2025 karta.png", "A 2230-2025")</f>
        <v/>
      </c>
      <c r="Y9">
        <f>HYPERLINK("https://klasma.github.io/Logging_0586/kartor_geotiff/A 2230-2025 georefererad karta.tif", "A 2230-2025")</f>
        <v/>
      </c>
      <c r="AA9">
        <f>HYPERLINK("https://klasma.github.io/Logging_0586/klagomål/A 2230-2025 FSC-klagomål.docx", "A 2230-2025")</f>
        <v/>
      </c>
      <c r="AB9">
        <f>HYPERLINK("https://klasma.github.io/Logging_0586/klagomålsmail/A 2230-2025 FSC-klagomål mail.docx", "A 2230-2025")</f>
        <v/>
      </c>
      <c r="AC9">
        <f>HYPERLINK("https://klasma.github.io/Logging_0586/tillsyn/A 2230-2025 tillsynsbegäran.docx", "A 2230-2025")</f>
        <v/>
      </c>
      <c r="AD9">
        <f>HYPERLINK("https://klasma.github.io/Logging_0586/tillsynsmail/A 2230-2025 tillsynsbegäran mail.docx", "A 2230-2025")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46262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46262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46262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46156-2025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46262</v>
      </c>
      <c r="F13" t="inlineStr">
        <is>
          <t>ÖSTERGÖTLANDS LÄN</t>
        </is>
      </c>
      <c r="G13" t="inlineStr">
        <is>
          <t>MJÖLBY</t>
        </is>
      </c>
      <c r="I13" t="n">
        <v>3.7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Tvåblad</t>
        </is>
      </c>
      <c r="W13">
        <f>HYPERLINK("https://klasma.github.io/Logging_0586/artfynd/A 46156-2025 artfynd.xlsx", "A 46156-2025")</f>
        <v/>
      </c>
      <c r="X13">
        <f>HYPERLINK("https://klasma.github.io/Logging_0586/kartor/A 46156-2025 karta.png", "A 46156-2025")</f>
        <v/>
      </c>
      <c r="Y13">
        <f>HYPERLINK("https://klasma.github.io/Logging_0586/kartor_geotiff/A 46156-2025 georefererad karta.tif", "A 46156-2025")</f>
        <v/>
      </c>
      <c r="AA13">
        <f>HYPERLINK("https://klasma.github.io/Logging_0586/klagomål/A 46156-2025 FSC-klagomål.docx", "A 46156-2025")</f>
        <v/>
      </c>
      <c r="AB13">
        <f>HYPERLINK("https://klasma.github.io/Logging_0586/klagomålsmail/A 46156-2025 FSC-klagomål mail.docx", "A 46156-2025")</f>
        <v/>
      </c>
      <c r="AC13">
        <f>HYPERLINK("https://klasma.github.io/Logging_0586/tillsyn/A 46156-2025 tillsynsbegäran.docx", "A 46156-2025")</f>
        <v/>
      </c>
      <c r="AD13">
        <f>HYPERLINK("https://klasma.github.io/Logging_0586/tillsynsmail/A 46156-2025 tillsynsbegäran mail.docx", "A 46156-2025")</f>
        <v/>
      </c>
    </row>
    <row r="14" ht="15" customHeight="1">
      <c r="A14" t="inlineStr">
        <is>
          <t>A 46123-2025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46262</v>
      </c>
      <c r="F14" t="inlineStr">
        <is>
          <t>ÖSTERGÖTLANDS LÄN</t>
        </is>
      </c>
      <c r="G14" t="inlineStr">
        <is>
          <t>MJÖLBY</t>
        </is>
      </c>
      <c r="I14" t="n">
        <v>5.6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HYPERLINK("https://klasma.github.io/Logging_0586/artfynd/A 46123-2025 artfynd.xlsx", "A 46123-2025")</f>
        <v/>
      </c>
      <c r="X14">
        <f>HYPERLINK("https://klasma.github.io/Logging_0586/kartor/A 46123-2025 karta.png", "A 46123-2025")</f>
        <v/>
      </c>
      <c r="Y14">
        <f>HYPERLINK("https://klasma.github.io/Logging_0586/kartor_geotiff/A 46123-2025 georefererad karta.tif", "A 46123-2025")</f>
        <v/>
      </c>
      <c r="Z14">
        <f>HYPERLINK("https://klasma.github.io/Logging_0586/knärot/A 46123-2025 karta knärot.png", "A 46123-2025")</f>
        <v/>
      </c>
      <c r="AA14">
        <f>HYPERLINK("https://klasma.github.io/Logging_0586/klagomål/A 46123-2025 FSC-klagomål.docx", "A 46123-2025")</f>
        <v/>
      </c>
      <c r="AB14">
        <f>HYPERLINK("https://klasma.github.io/Logging_0586/klagomålsmail/A 46123-2025 FSC-klagomål mail.docx", "A 46123-2025")</f>
        <v/>
      </c>
      <c r="AC14">
        <f>HYPERLINK("https://klasma.github.io/Logging_0586/tillsyn/A 46123-2025 tillsynsbegäran.docx", "A 46123-2025")</f>
        <v/>
      </c>
      <c r="AD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45926</v>
      </c>
      <c r="E15" s="1" t="n">
        <v>46262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1.2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46522-2025 artfynd.xlsx", "A 46522-2025")</f>
        <v/>
      </c>
      <c r="X15">
        <f>HYPERLINK("https://klasma.github.io/Logging_0586/kartor/A 46522-2025 karta.png", "A 46522-2025")</f>
        <v/>
      </c>
      <c r="Y15">
        <f>HYPERLINK("https://klasma.github.io/Logging_0586/kartor_geotiff/A 46522-2025 georefererad karta.tif", "A 46522-2025")</f>
        <v/>
      </c>
      <c r="AA15">
        <f>HYPERLINK("https://klasma.github.io/Logging_0586/klagomål/A 46522-2025 FSC-klagomål.docx", "A 46522-2025")</f>
        <v/>
      </c>
      <c r="AB15">
        <f>HYPERLINK("https://klasma.github.io/Logging_0586/klagomålsmail/A 46522-2025 FSC-klagomål mail.docx", "A 46522-2025")</f>
        <v/>
      </c>
      <c r="AC15">
        <f>HYPERLINK("https://klasma.github.io/Logging_0586/tillsyn/A 46522-2025 tillsynsbegäran.docx", "A 46522-2025")</f>
        <v/>
      </c>
      <c r="AD15">
        <f>HYPERLINK("https://klasma.github.io/Logging_0586/tillsynsmail/A 46522-2025 tillsynsbegäran mail.docx", "A 46522-2025")</f>
        <v/>
      </c>
    </row>
    <row r="16" ht="15" customHeight="1">
      <c r="A16" t="inlineStr">
        <is>
          <t>A 22327-2024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46262</v>
      </c>
      <c r="F16" t="inlineStr">
        <is>
          <t>ÖSTERGÖTLANDS LÄN</t>
        </is>
      </c>
      <c r="G16" t="inlineStr">
        <is>
          <t>MJÖLBY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HYPERLINK("https://klasma.github.io/Logging_0586/artfynd/A 22327-2024 artfynd.xlsx", "A 22327-2024")</f>
        <v/>
      </c>
      <c r="X16">
        <f>HYPERLINK("https://klasma.github.io/Logging_0586/kartor/A 22327-2024 karta.png", "A 22327-2024")</f>
        <v/>
      </c>
      <c r="Y16">
        <f>HYPERLINK("https://klasma.github.io/Logging_0586/kartor_geotiff/A 22327-2024 georefererad karta.tif", "A 22327-2024")</f>
        <v/>
      </c>
      <c r="AA16">
        <f>HYPERLINK("https://klasma.github.io/Logging_0586/klagomål/A 22327-2024 FSC-klagomål.docx", "A 22327-2024")</f>
        <v/>
      </c>
      <c r="AB16">
        <f>HYPERLINK("https://klasma.github.io/Logging_0586/klagomålsmail/A 22327-2024 FSC-klagomål mail.docx", "A 22327-2024")</f>
        <v/>
      </c>
      <c r="AC16">
        <f>HYPERLINK("https://klasma.github.io/Logging_0586/tillsyn/A 22327-2024 tillsynsbegäran.docx", "A 22327-2024")</f>
        <v/>
      </c>
      <c r="AD16">
        <f>HYPERLINK("https://klasma.github.io/Logging_0586/tillsynsmail/A 22327-2024 tillsynsbegäran mail.docx", "A 22327-2024")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46262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60983-2023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45261</v>
      </c>
      <c r="E18" s="1" t="n">
        <v>46262</v>
      </c>
      <c r="F18" t="inlineStr">
        <is>
          <t>ÖSTERGÖTLANDS LÄN</t>
        </is>
      </c>
      <c r="G18" t="inlineStr">
        <is>
          <t>MJÖLBY</t>
        </is>
      </c>
      <c r="I18" t="n">
        <v>3.8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HYPERLINK("https://klasma.github.io/Logging_0586/artfynd/A 60983-2023 artfynd.xlsx", "A 60983-2023")</f>
        <v/>
      </c>
      <c r="X18">
        <f>HYPERLINK("https://klasma.github.io/Logging_0586/kartor/A 60983-2023 karta.png", "A 60983-2023")</f>
        <v/>
      </c>
      <c r="Y18">
        <f>HYPERLINK("https://klasma.github.io/Logging_0586/kartor_geotiff/A 60983-2023 georefererad karta.tif", "A 60983-2023")</f>
        <v/>
      </c>
      <c r="AA18">
        <f>HYPERLINK("https://klasma.github.io/Logging_0586/klagomål/A 60983-2023 FSC-klagomål.docx", "A 60983-2023")</f>
        <v/>
      </c>
      <c r="AB18">
        <f>HYPERLINK("https://klasma.github.io/Logging_0586/klagomålsmail/A 60983-2023 FSC-klagomål mail.docx", "A 60983-2023")</f>
        <v/>
      </c>
      <c r="AC18">
        <f>HYPERLINK("https://klasma.github.io/Logging_0586/tillsyn/A 60983-2023 tillsynsbegäran.docx", "A 60983-2023")</f>
        <v/>
      </c>
      <c r="AD18">
        <f>HYPERLINK("https://klasma.github.io/Logging_0586/tillsynsmail/A 60983-2023 tillsynsbegäran mail.docx", "A 60983-2023")</f>
        <v/>
      </c>
    </row>
    <row r="19" ht="15" customHeight="1">
      <c r="A19" t="inlineStr">
        <is>
          <t>A 9030-2022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44615</v>
      </c>
      <c r="E19" s="1" t="n">
        <v>46262</v>
      </c>
      <c r="F19" t="inlineStr">
        <is>
          <t>ÖSTERGÖTLANDS LÄN</t>
        </is>
      </c>
      <c r="G19" t="inlineStr">
        <is>
          <t>MJÖLBY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HYPERLINK("https://klasma.github.io/Logging_0586/artfynd/A 9030-2022 artfynd.xlsx", "A 9030-2022")</f>
        <v/>
      </c>
      <c r="X19">
        <f>HYPERLINK("https://klasma.github.io/Logging_0586/kartor/A 9030-2022 karta.png", "A 9030-2022")</f>
        <v/>
      </c>
      <c r="Y19">
        <f>HYPERLINK("https://klasma.github.io/Logging_0586/kartor_geotiff/A 9030-2022 georefererad karta.tif", "A 9030-2022")</f>
        <v/>
      </c>
      <c r="AA19">
        <f>HYPERLINK("https://klasma.github.io/Logging_0586/klagomål/A 9030-2022 FSC-klagomål.docx", "A 9030-2022")</f>
        <v/>
      </c>
      <c r="AB19">
        <f>HYPERLINK("https://klasma.github.io/Logging_0586/klagomålsmail/A 9030-2022 FSC-klagomål mail.docx", "A 9030-2022")</f>
        <v/>
      </c>
      <c r="AC19">
        <f>HYPERLINK("https://klasma.github.io/Logging_0586/tillsyn/A 9030-2022 tillsynsbegäran.docx", "A 9030-2022")</f>
        <v/>
      </c>
      <c r="AD19">
        <f>HYPERLINK("https://klasma.github.io/Logging_0586/tillsynsmail/A 9030-2022 tillsynsbegäran mail.docx", "A 9030-2022")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46262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46262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46262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Vårstarr</t>
        </is>
      </c>
      <c r="W22">
        <f>HYPERLINK("https://klasma.github.io/Logging_0586/artfynd/A 51642-2021 artfynd.xlsx", "A 51642-2021")</f>
        <v/>
      </c>
      <c r="X22">
        <f>HYPERLINK("https://klasma.github.io/Logging_0586/kartor/A 51642-2021 karta.png", "A 51642-2021")</f>
        <v/>
      </c>
      <c r="Y22">
        <f>HYPERLINK("https://klasma.github.io/Logging_0586/kartor_geotiff/A 51642-2021 georefererad karta.tif", "A 51642-2021")</f>
        <v/>
      </c>
      <c r="AA22">
        <f>HYPERLINK("https://klasma.github.io/Logging_0586/klagomål/A 51642-2021 FSC-klagomål.docx", "A 51642-2021")</f>
        <v/>
      </c>
      <c r="AB22">
        <f>HYPERLINK("https://klasma.github.io/Logging_0586/klagomålsmail/A 51642-2021 FSC-klagomål mail.docx", "A 51642-2021")</f>
        <v/>
      </c>
      <c r="AC22">
        <f>HYPERLINK("https://klasma.github.io/Logging_0586/tillsyn/A 51642-2021 tillsynsbegäran.docx", "A 51642-2021")</f>
        <v/>
      </c>
      <c r="AD22">
        <f>HYPERLINK("https://klasma.github.io/Logging_0586/tillsynsmail/A 51642-2021 tillsynsbegäran mail.docx", "A 51642-2021")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46262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Vårstarr</t>
        </is>
      </c>
      <c r="W23">
        <f>HYPERLINK("https://klasma.github.io/Logging_0586/artfynd/A 51642-2021 artfynd.xlsx", "A 51642-2021")</f>
        <v/>
      </c>
      <c r="X23">
        <f>HYPERLINK("https://klasma.github.io/Logging_0586/kartor/A 51642-2021 karta.png", "A 51642-2021")</f>
        <v/>
      </c>
      <c r="Y23">
        <f>HYPERLINK("https://klasma.github.io/Logging_0586/kartor_geotiff/A 51642-2021 georefererad karta.tif", "A 51642-2021")</f>
        <v/>
      </c>
      <c r="AA23">
        <f>HYPERLINK("https://klasma.github.io/Logging_0586/klagomål/A 51642-2021 FSC-klagomål.docx", "A 51642-2021")</f>
        <v/>
      </c>
      <c r="AB23">
        <f>HYPERLINK("https://klasma.github.io/Logging_0586/klagomålsmail/A 51642-2021 FSC-klagomål mail.docx", "A 51642-2021")</f>
        <v/>
      </c>
      <c r="AC23">
        <f>HYPERLINK("https://klasma.github.io/Logging_0586/tillsyn/A 51642-2021 tillsynsbegäran.docx", "A 51642-2021")</f>
        <v/>
      </c>
      <c r="AD23">
        <f>HYPERLINK("https://klasma.github.io/Logging_0586/tillsynsmail/A 51642-2021 tillsynsbegäran mail.docx", "A 51642-2021")</f>
        <v/>
      </c>
    </row>
    <row r="24" ht="15" customHeight="1">
      <c r="A24" t="inlineStr">
        <is>
          <t>A 50403-2022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44866</v>
      </c>
      <c r="E24" s="1" t="n">
        <v>46262</v>
      </c>
      <c r="F24" t="inlineStr">
        <is>
          <t>ÖSTERGÖTLANDS LÄN</t>
        </is>
      </c>
      <c r="G24" t="inlineStr">
        <is>
          <t>MJÖLBY</t>
        </is>
      </c>
      <c r="H24" t="inlineStr">
        <is>
          <t>Sveaskog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Springkorn</t>
        </is>
      </c>
      <c r="W24">
        <f>HYPERLINK("https://klasma.github.io/Logging_0586/artfynd/A 50403-2022 artfynd.xlsx", "A 50403-2022")</f>
        <v/>
      </c>
      <c r="X24">
        <f>HYPERLINK("https://klasma.github.io/Logging_0586/kartor/A 50403-2022 karta.png", "A 50403-2022")</f>
        <v/>
      </c>
      <c r="Y24">
        <f>HYPERLINK("https://klasma.github.io/Logging_0586/kartor_geotiff/A 50403-2022 georefererad karta.tif", "A 50403-2022")</f>
        <v/>
      </c>
      <c r="AA24">
        <f>HYPERLINK("https://klasma.github.io/Logging_0586/klagomål/A 50403-2022 FSC-klagomål.docx", "A 50403-2022")</f>
        <v/>
      </c>
      <c r="AB24">
        <f>HYPERLINK("https://klasma.github.io/Logging_0586/klagomålsmail/A 50403-2022 FSC-klagomål mail.docx", "A 50403-2022")</f>
        <v/>
      </c>
      <c r="AC24">
        <f>HYPERLINK("https://klasma.github.io/Logging_0586/tillsyn/A 50403-2022 tillsynsbegäran.docx", "A 50403-2022")</f>
        <v/>
      </c>
      <c r="AD24">
        <f>HYPERLINK("https://klasma.github.io/Logging_0586/tillsynsmail/A 50403-2022 tillsynsbegäran mail.docx", "A 50403-2022")</f>
        <v/>
      </c>
    </row>
    <row r="25" ht="15" customHeight="1">
      <c r="A25" t="inlineStr">
        <is>
          <t>A 32573-2026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46262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HYPERLINK("https://klasma.github.io/Logging_0586/artfynd/A 32573-2026 artfynd.xlsx", "A 32573-2026")</f>
        <v/>
      </c>
      <c r="X25">
        <f>HYPERLINK("https://klasma.github.io/Logging_0586/kartor/A 32573-2026 karta.png", "A 32573-2026")</f>
        <v/>
      </c>
      <c r="Y25">
        <f>HYPERLINK("https://klasma.github.io/Logging_0586/kartor_geotiff/A 32573-2026 georefererad karta.tif", "A 32573-2026")</f>
        <v/>
      </c>
      <c r="AA25">
        <f>HYPERLINK("https://klasma.github.io/Logging_0586/klagomål/A 32573-2026 FSC-klagomål.docx", "A 32573-2026")</f>
        <v/>
      </c>
      <c r="AB25">
        <f>HYPERLINK("https://klasma.github.io/Logging_0586/klagomålsmail/A 32573-2026 FSC-klagomål mail.docx", "A 32573-2026")</f>
        <v/>
      </c>
      <c r="AC25">
        <f>HYPERLINK("https://klasma.github.io/Logging_0586/tillsyn/A 32573-2026 tillsynsbegäran.docx", "A 32573-2026")</f>
        <v/>
      </c>
      <c r="AD25">
        <f>HYPERLINK("https://klasma.github.io/Logging_0586/tillsynsmail/A 32573-2026 tillsynsbegäran mail.docx", "A 32573-2026")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46262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34869-2026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46255</v>
      </c>
      <c r="E27" s="1" t="n">
        <v>46262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Backsippa</t>
        </is>
      </c>
      <c r="W27">
        <f>HYPERLINK("https://klasma.github.io/Logging_0586/artfynd/A 34869-2026 artfynd.xlsx", "A 34869-2026")</f>
        <v/>
      </c>
      <c r="X27">
        <f>HYPERLINK("https://klasma.github.io/Logging_0586/kartor/A 34869-2026 karta.png", "A 34869-2026")</f>
        <v/>
      </c>
      <c r="Y27">
        <f>HYPERLINK("https://klasma.github.io/Logging_0586/kartor_geotiff/A 34869-2026 georefererad karta.tif", "A 34869-2026")</f>
        <v/>
      </c>
      <c r="AA27">
        <f>HYPERLINK("https://klasma.github.io/Logging_0586/klagomål/A 34869-2026 FSC-klagomål.docx", "A 34869-2026")</f>
        <v/>
      </c>
      <c r="AB27">
        <f>HYPERLINK("https://klasma.github.io/Logging_0586/klagomålsmail/A 34869-2026 FSC-klagomål mail.docx", "A 34869-2026")</f>
        <v/>
      </c>
      <c r="AC27">
        <f>HYPERLINK("https://klasma.github.io/Logging_0586/tillsyn/A 34869-2026 tillsynsbegäran.docx", "A 34869-2026")</f>
        <v/>
      </c>
      <c r="AD27">
        <f>HYPERLINK("https://klasma.github.io/Logging_0586/tillsynsmail/A 34869-2026 tillsynsbegäran mail.docx", "A 34869-2026")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46262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46262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46262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46262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46262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46262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46262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46262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46262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46262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46262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45009</v>
      </c>
      <c r="E39" s="1" t="n">
        <v>46262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45526</v>
      </c>
      <c r="E40" s="1" t="n">
        <v>46262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46262</v>
      </c>
      <c r="F41" t="inlineStr">
        <is>
          <t>ÖSTERGÖTLANDS LÄN</t>
        </is>
      </c>
      <c r="G41" t="inlineStr">
        <is>
          <t>MJÖLBY</t>
        </is>
      </c>
      <c r="H41" t="inlineStr">
        <is>
          <t>Allmännings- och besparingsskogar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46262</v>
      </c>
      <c r="F42" t="inlineStr">
        <is>
          <t>ÖSTERGÖTLANDS LÄN</t>
        </is>
      </c>
      <c r="G42" t="inlineStr">
        <is>
          <t>MJÖLBY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46262</v>
      </c>
      <c r="F43" t="inlineStr">
        <is>
          <t>ÖSTERGÖTLANDS LÄN</t>
        </is>
      </c>
      <c r="G43" t="inlineStr">
        <is>
          <t>MJÖLBY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46262</v>
      </c>
      <c r="F44" t="inlineStr">
        <is>
          <t>ÖSTERGÖTLANDS LÄN</t>
        </is>
      </c>
      <c r="G44" t="inlineStr">
        <is>
          <t>MJÖLBY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46262</v>
      </c>
      <c r="F45" t="inlineStr">
        <is>
          <t>ÖSTERGÖTLANDS LÄN</t>
        </is>
      </c>
      <c r="G45" t="inlineStr">
        <is>
          <t>MJÖLBY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45950</v>
      </c>
      <c r="E46" s="1" t="n">
        <v>46262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46262</v>
      </c>
      <c r="F47" t="inlineStr">
        <is>
          <t>ÖSTERGÖTLANDS LÄN</t>
        </is>
      </c>
      <c r="G47" t="inlineStr">
        <is>
          <t>MJÖLBY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46262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45545</v>
      </c>
      <c r="E49" s="1" t="n">
        <v>46262</v>
      </c>
      <c r="F49" t="inlineStr">
        <is>
          <t>ÖSTERGÖTLANDS LÄN</t>
        </is>
      </c>
      <c r="G49" t="inlineStr">
        <is>
          <t>MJÖLBY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46262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51335-2025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46262</v>
      </c>
      <c r="F51" t="inlineStr">
        <is>
          <t>ÖSTERGÖTLANDS LÄN</t>
        </is>
      </c>
      <c r="G51" t="inlineStr">
        <is>
          <t>MJÖLBY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46262</v>
      </c>
      <c r="F52" t="inlineStr">
        <is>
          <t>ÖSTERGÖTLANDS LÄN</t>
        </is>
      </c>
      <c r="G52" t="inlineStr">
        <is>
          <t>MJÖLBY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45314</v>
      </c>
      <c r="E53" s="1" t="n">
        <v>46262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16304-2024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45407</v>
      </c>
      <c r="E54" s="1" t="n">
        <v>46262</v>
      </c>
      <c r="F54" t="inlineStr">
        <is>
          <t>ÖSTERGÖTLANDS LÄN</t>
        </is>
      </c>
      <c r="G54" t="inlineStr">
        <is>
          <t>MJÖLBY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46262</v>
      </c>
      <c r="F55" t="inlineStr">
        <is>
          <t>ÖSTERGÖTLANDS LÄN</t>
        </is>
      </c>
      <c r="G55" t="inlineStr">
        <is>
          <t>MJÖLBY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43012-2024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45567</v>
      </c>
      <c r="E56" s="1" t="n">
        <v>46262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46262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46262</v>
      </c>
      <c r="F58" t="inlineStr">
        <is>
          <t>ÖSTERGÖTLANDS LÄN</t>
        </is>
      </c>
      <c r="G58" t="inlineStr">
        <is>
          <t>MJÖLBY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46262</v>
      </c>
      <c r="F59" t="inlineStr">
        <is>
          <t>ÖSTERGÖTLANDS LÄN</t>
        </is>
      </c>
      <c r="G59" t="inlineStr">
        <is>
          <t>MJÖLBY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46262</v>
      </c>
      <c r="F60" t="inlineStr">
        <is>
          <t>ÖSTERGÖTLANDS LÄN</t>
        </is>
      </c>
      <c r="G60" t="inlineStr">
        <is>
          <t>MJÖLBY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46262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27232-2025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45812</v>
      </c>
      <c r="E62" s="1" t="n">
        <v>46262</v>
      </c>
      <c r="F62" t="inlineStr">
        <is>
          <t>ÖSTERGÖTLANDS LÄN</t>
        </is>
      </c>
      <c r="G62" t="inlineStr">
        <is>
          <t>MJÖLBY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44769-2025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45917</v>
      </c>
      <c r="E63" s="1" t="n">
        <v>46262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44770-2025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45917</v>
      </c>
      <c r="E64" s="1" t="n">
        <v>46262</v>
      </c>
      <c r="F64" t="inlineStr">
        <is>
          <t>ÖSTERGÖTLANDS LÄN</t>
        </is>
      </c>
      <c r="G64" t="inlineStr">
        <is>
          <t>MJÖLBY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46262</v>
      </c>
      <c r="F65" t="inlineStr">
        <is>
          <t>ÖSTERGÖTLANDS LÄN</t>
        </is>
      </c>
      <c r="G65" t="inlineStr">
        <is>
          <t>MJÖLBY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46262</v>
      </c>
      <c r="F66" t="inlineStr">
        <is>
          <t>ÖSTERGÖTLANDS LÄN</t>
        </is>
      </c>
      <c r="G66" t="inlineStr">
        <is>
          <t>MJÖLBY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46262</v>
      </c>
      <c r="F67" t="inlineStr">
        <is>
          <t>ÖSTERGÖTLANDS LÄN</t>
        </is>
      </c>
      <c r="G67" t="inlineStr">
        <is>
          <t>MJÖLBY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46262</v>
      </c>
      <c r="F68" t="inlineStr">
        <is>
          <t>ÖSTERGÖTLANDS LÄN</t>
        </is>
      </c>
      <c r="G68" t="inlineStr">
        <is>
          <t>MJÖLBY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45985</v>
      </c>
      <c r="E69" s="1" t="n">
        <v>46262</v>
      </c>
      <c r="F69" t="inlineStr">
        <is>
          <t>ÖSTERGÖTLANDS LÄN</t>
        </is>
      </c>
      <c r="G69" t="inlineStr">
        <is>
          <t>MJÖLBY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45985</v>
      </c>
      <c r="E70" s="1" t="n">
        <v>46262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46262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45986</v>
      </c>
      <c r="E72" s="1" t="n">
        <v>46262</v>
      </c>
      <c r="F72" t="inlineStr">
        <is>
          <t>ÖSTERGÖTLANDS LÄN</t>
        </is>
      </c>
      <c r="G72" t="inlineStr">
        <is>
          <t>MJÖLBY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46262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38299-2023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46262</v>
      </c>
      <c r="F74" t="inlineStr">
        <is>
          <t>ÖSTERGÖTLANDS LÄN</t>
        </is>
      </c>
      <c r="G74" t="inlineStr">
        <is>
          <t>MJÖLBY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46262</v>
      </c>
      <c r="F75" t="inlineStr">
        <is>
          <t>ÖSTERGÖTLANDS LÄN</t>
        </is>
      </c>
      <c r="G75" t="inlineStr">
        <is>
          <t>MJÖLBY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46262</v>
      </c>
      <c r="F76" t="inlineStr">
        <is>
          <t>ÖSTERGÖTLANDS LÄN</t>
        </is>
      </c>
      <c r="G76" t="inlineStr">
        <is>
          <t>MJÖLBY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46262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46262</v>
      </c>
      <c r="F78" t="inlineStr">
        <is>
          <t>ÖSTERGÖTLANDS LÄN</t>
        </is>
      </c>
      <c r="G78" t="inlineStr">
        <is>
          <t>MJÖLBY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46262</v>
      </c>
      <c r="F79" t="inlineStr">
        <is>
          <t>ÖSTERGÖTLANDS LÄN</t>
        </is>
      </c>
      <c r="G79" t="inlineStr">
        <is>
          <t>MJÖLBY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45793</v>
      </c>
      <c r="E80" s="1" t="n">
        <v>46262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46262</v>
      </c>
      <c r="F81" t="inlineStr">
        <is>
          <t>ÖSTERGÖTLANDS LÄN</t>
        </is>
      </c>
      <c r="G81" t="inlineStr">
        <is>
          <t>MJÖLBY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46262</v>
      </c>
      <c r="F82" t="inlineStr">
        <is>
          <t>ÖSTERGÖTLANDS LÄN</t>
        </is>
      </c>
      <c r="G82" t="inlineStr">
        <is>
          <t>MJÖLBY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46262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46262</v>
      </c>
      <c r="F84" t="inlineStr">
        <is>
          <t>ÖSTERGÖTLANDS LÄN</t>
        </is>
      </c>
      <c r="G84" t="inlineStr">
        <is>
          <t>MJÖLBY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46262</v>
      </c>
      <c r="F85" t="inlineStr">
        <is>
          <t>ÖSTERGÖTLANDS LÄN</t>
        </is>
      </c>
      <c r="G85" t="inlineStr">
        <is>
          <t>MJÖLBY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46262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44980</v>
      </c>
      <c r="E87" s="1" t="n">
        <v>46262</v>
      </c>
      <c r="F87" t="inlineStr">
        <is>
          <t>ÖSTERGÖTLANDS LÄN</t>
        </is>
      </c>
      <c r="G87" t="inlineStr">
        <is>
          <t>MJÖLBY</t>
        </is>
      </c>
      <c r="H87" t="inlineStr">
        <is>
          <t>Kyrkan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46262</v>
      </c>
      <c r="F88" t="inlineStr">
        <is>
          <t>ÖSTERGÖTLANDS LÄN</t>
        </is>
      </c>
      <c r="G88" t="inlineStr">
        <is>
          <t>MJÖLBY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46262</v>
      </c>
      <c r="F89" t="inlineStr">
        <is>
          <t>ÖSTERGÖTLANDS LÄN</t>
        </is>
      </c>
      <c r="G89" t="inlineStr">
        <is>
          <t>MJÖLBY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46262</v>
      </c>
      <c r="F90" t="inlineStr">
        <is>
          <t>ÖSTERGÖTLANDS LÄN</t>
        </is>
      </c>
      <c r="G90" t="inlineStr">
        <is>
          <t>MJÖLBY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46262</v>
      </c>
      <c r="F91" t="inlineStr">
        <is>
          <t>ÖSTERGÖTLANDS LÄN</t>
        </is>
      </c>
      <c r="G91" t="inlineStr">
        <is>
          <t>MJÖLBY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46262</v>
      </c>
      <c r="F92" t="inlineStr">
        <is>
          <t>ÖSTERGÖTLANDS LÄN</t>
        </is>
      </c>
      <c r="G92" t="inlineStr">
        <is>
          <t>MJÖLBY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46262</v>
      </c>
      <c r="F93" t="inlineStr">
        <is>
          <t>ÖSTERGÖTLANDS LÄN</t>
        </is>
      </c>
      <c r="G93" t="inlineStr">
        <is>
          <t>MJÖLBY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46262</v>
      </c>
      <c r="F94" t="inlineStr">
        <is>
          <t>ÖSTERGÖTLANDS LÄN</t>
        </is>
      </c>
      <c r="G94" t="inlineStr">
        <is>
          <t>MJÖLBY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45221</v>
      </c>
      <c r="E95" s="1" t="n">
        <v>46262</v>
      </c>
      <c r="F95" t="inlineStr">
        <is>
          <t>ÖSTERGÖTLANDS LÄN</t>
        </is>
      </c>
      <c r="G95" t="inlineStr">
        <is>
          <t>MJÖLBY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37802-2022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44810</v>
      </c>
      <c r="E96" s="1" t="n">
        <v>46262</v>
      </c>
      <c r="F96" t="inlineStr">
        <is>
          <t>ÖSTERGÖTLANDS LÄN</t>
        </is>
      </c>
      <c r="G96" t="inlineStr">
        <is>
          <t>MJÖLBY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44971</v>
      </c>
      <c r="E97" s="1" t="n">
        <v>46262</v>
      </c>
      <c r="F97" t="inlineStr">
        <is>
          <t>ÖSTERGÖTLANDS LÄN</t>
        </is>
      </c>
      <c r="G97" t="inlineStr">
        <is>
          <t>MJÖLBY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46262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46262</v>
      </c>
      <c r="F99" t="inlineStr">
        <is>
          <t>ÖSTERGÖTLANDS LÄN</t>
        </is>
      </c>
      <c r="G99" t="inlineStr">
        <is>
          <t>MJÖLBY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63449-2023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45273</v>
      </c>
      <c r="E100" s="1" t="n">
        <v>46262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46262</v>
      </c>
      <c r="F101" t="inlineStr">
        <is>
          <t>ÖSTERGÖTLANDS LÄN</t>
        </is>
      </c>
      <c r="G101" t="inlineStr">
        <is>
          <t>MJÖLBY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46262</v>
      </c>
      <c r="F102" t="inlineStr">
        <is>
          <t>ÖSTERGÖTLANDS LÄN</t>
        </is>
      </c>
      <c r="G102" t="inlineStr">
        <is>
          <t>MJÖLBY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46262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Kyrkan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46262</v>
      </c>
      <c r="F104" t="inlineStr">
        <is>
          <t>ÖSTERGÖTLANDS LÄN</t>
        </is>
      </c>
      <c r="G104" t="inlineStr">
        <is>
          <t>MJÖLBY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46262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46262</v>
      </c>
      <c r="F106" t="inlineStr">
        <is>
          <t>ÖSTERGÖTLANDS LÄN</t>
        </is>
      </c>
      <c r="G106" t="inlineStr">
        <is>
          <t>MJÖLBY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46262</v>
      </c>
      <c r="F107" t="inlineStr">
        <is>
          <t>ÖSTERGÖTLANDS LÄN</t>
        </is>
      </c>
      <c r="G107" t="inlineStr">
        <is>
          <t>MJÖLBY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46262</v>
      </c>
      <c r="F108" t="inlineStr">
        <is>
          <t>ÖSTERGÖTLANDS LÄN</t>
        </is>
      </c>
      <c r="G108" t="inlineStr">
        <is>
          <t>MJÖLBY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46262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44936</v>
      </c>
      <c r="E110" s="1" t="n">
        <v>46262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46262</v>
      </c>
      <c r="F111" t="inlineStr">
        <is>
          <t>ÖSTERGÖTLANDS LÄN</t>
        </is>
      </c>
      <c r="G111" t="inlineStr">
        <is>
          <t>MJÖLBY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46262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46262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46262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45370</v>
      </c>
      <c r="E115" s="1" t="n">
        <v>46262</v>
      </c>
      <c r="F115" t="inlineStr">
        <is>
          <t>ÖSTERGÖTLANDS LÄN</t>
        </is>
      </c>
      <c r="G115" t="inlineStr">
        <is>
          <t>MJÖLBY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45376</v>
      </c>
      <c r="E116" s="1" t="n">
        <v>46262</v>
      </c>
      <c r="F116" t="inlineStr">
        <is>
          <t>ÖSTERGÖTLANDS LÄN</t>
        </is>
      </c>
      <c r="G116" t="inlineStr">
        <is>
          <t>MJÖLBY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46262</v>
      </c>
      <c r="F117" t="inlineStr">
        <is>
          <t>ÖSTERGÖTLANDS LÄN</t>
        </is>
      </c>
      <c r="G117" t="inlineStr">
        <is>
          <t>MJÖLBY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46262</v>
      </c>
      <c r="F118" t="inlineStr">
        <is>
          <t>ÖSTERGÖTLANDS LÄN</t>
        </is>
      </c>
      <c r="G118" t="inlineStr">
        <is>
          <t>MJÖLBY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44904</v>
      </c>
      <c r="E119" s="1" t="n">
        <v>46262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44580</v>
      </c>
      <c r="E120" s="1" t="n">
        <v>46262</v>
      </c>
      <c r="F120" t="inlineStr">
        <is>
          <t>ÖSTERGÖTLANDS LÄN</t>
        </is>
      </c>
      <c r="G120" t="inlineStr">
        <is>
          <t>MJÖLBY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46262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46262</v>
      </c>
      <c r="F122" t="inlineStr">
        <is>
          <t>ÖSTERGÖTLANDS LÄN</t>
        </is>
      </c>
      <c r="G122" t="inlineStr">
        <is>
          <t>MJÖLBY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45269</v>
      </c>
      <c r="E123" s="1" t="n">
        <v>46262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46262</v>
      </c>
      <c r="F124" t="inlineStr">
        <is>
          <t>ÖSTERGÖTLANDS LÄN</t>
        </is>
      </c>
      <c r="G124" t="inlineStr">
        <is>
          <t>MJÖLBY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46262</v>
      </c>
      <c r="F125" t="inlineStr">
        <is>
          <t>ÖSTERGÖTLANDS LÄN</t>
        </is>
      </c>
      <c r="G125" t="inlineStr">
        <is>
          <t>MJÖLBY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46104</v>
      </c>
      <c r="E126" s="1" t="n">
        <v>46262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46262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46262</v>
      </c>
      <c r="F128" t="inlineStr">
        <is>
          <t>ÖSTERGÖTLANDS LÄN</t>
        </is>
      </c>
      <c r="G128" t="inlineStr">
        <is>
          <t>MJÖLBY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46262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46262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45324</v>
      </c>
      <c r="E131" s="1" t="n">
        <v>46262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46262</v>
      </c>
      <c r="F132" t="inlineStr">
        <is>
          <t>ÖSTERGÖTLANDS LÄN</t>
        </is>
      </c>
      <c r="G132" t="inlineStr">
        <is>
          <t>MJÖLBY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46262</v>
      </c>
      <c r="F133" t="inlineStr">
        <is>
          <t>ÖSTERGÖTLANDS LÄN</t>
        </is>
      </c>
      <c r="G133" t="inlineStr">
        <is>
          <t>MJÖLBY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46262</v>
      </c>
      <c r="F134" t="inlineStr">
        <is>
          <t>ÖSTERGÖTLANDS LÄN</t>
        </is>
      </c>
      <c r="G134" t="inlineStr">
        <is>
          <t>MJÖLBY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46262</v>
      </c>
      <c r="F135" t="inlineStr">
        <is>
          <t>ÖSTERGÖTLANDS LÄN</t>
        </is>
      </c>
      <c r="G135" t="inlineStr">
        <is>
          <t>MJÖLBY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46262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46262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46127</v>
      </c>
      <c r="E138" s="1" t="n">
        <v>46262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45446</v>
      </c>
      <c r="E139" s="1" t="n">
        <v>46262</v>
      </c>
      <c r="F139" t="inlineStr">
        <is>
          <t>ÖSTERGÖTLANDS LÄN</t>
        </is>
      </c>
      <c r="G139" t="inlineStr">
        <is>
          <t>MJÖLBY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46262</v>
      </c>
      <c r="F140" t="inlineStr">
        <is>
          <t>ÖSTERGÖTLANDS LÄN</t>
        </is>
      </c>
      <c r="G140" t="inlineStr">
        <is>
          <t>MJÖLBY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46262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Kommuner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46262</v>
      </c>
      <c r="F142" t="inlineStr">
        <is>
          <t>ÖSTERGÖTLANDS LÄN</t>
        </is>
      </c>
      <c r="G142" t="inlineStr">
        <is>
          <t>MJÖLBY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46262</v>
      </c>
      <c r="F143" t="inlineStr">
        <is>
          <t>ÖSTERGÖTLANDS LÄN</t>
        </is>
      </c>
      <c r="G143" t="inlineStr">
        <is>
          <t>MJÖLBY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46262</v>
      </c>
      <c r="F144" t="inlineStr">
        <is>
          <t>ÖSTERGÖTLANDS LÄN</t>
        </is>
      </c>
      <c r="G144" t="inlineStr">
        <is>
          <t>MJÖLBY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46262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45892</v>
      </c>
      <c r="E146" s="1" t="n">
        <v>46262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46262</v>
      </c>
      <c r="F147" t="inlineStr">
        <is>
          <t>ÖSTERGÖTLANDS LÄN</t>
        </is>
      </c>
      <c r="G147" t="inlineStr">
        <is>
          <t>MJÖLBY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46262</v>
      </c>
      <c r="F148" t="inlineStr">
        <is>
          <t>ÖSTERGÖTLANDS LÄN</t>
        </is>
      </c>
      <c r="G148" t="inlineStr">
        <is>
          <t>MJÖLBY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46262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46262</v>
      </c>
      <c r="F150" t="inlineStr">
        <is>
          <t>ÖSTERGÖTLANDS LÄN</t>
        </is>
      </c>
      <c r="G150" t="inlineStr">
        <is>
          <t>MJÖLBY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44768</v>
      </c>
      <c r="E151" s="1" t="n">
        <v>46262</v>
      </c>
      <c r="F151" t="inlineStr">
        <is>
          <t>ÖSTERGÖTLANDS LÄN</t>
        </is>
      </c>
      <c r="G151" t="inlineStr">
        <is>
          <t>MJÖLBY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45177</v>
      </c>
      <c r="E152" s="1" t="n">
        <v>46262</v>
      </c>
      <c r="F152" t="inlineStr">
        <is>
          <t>ÖSTERGÖTLANDS LÄN</t>
        </is>
      </c>
      <c r="G152" t="inlineStr">
        <is>
          <t>MJÖLBY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46262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Kommuner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46262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46262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46262</v>
      </c>
      <c r="F156" t="inlineStr">
        <is>
          <t>ÖSTERGÖTLANDS LÄN</t>
        </is>
      </c>
      <c r="G156" t="inlineStr">
        <is>
          <t>MJÖLBY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46262</v>
      </c>
      <c r="F157" t="inlineStr">
        <is>
          <t>ÖSTERGÖTLANDS LÄN</t>
        </is>
      </c>
      <c r="G157" t="inlineStr">
        <is>
          <t>MJÖLBY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46262</v>
      </c>
      <c r="F158" t="inlineStr">
        <is>
          <t>ÖSTERGÖTLANDS LÄN</t>
        </is>
      </c>
      <c r="G158" t="inlineStr">
        <is>
          <t>MJÖLBY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46262</v>
      </c>
      <c r="F159" t="inlineStr">
        <is>
          <t>ÖSTERGÖTLANDS LÄN</t>
        </is>
      </c>
      <c r="G159" t="inlineStr">
        <is>
          <t>MJÖLBY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59410-2022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44907</v>
      </c>
      <c r="E160" s="1" t="n">
        <v>46262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59411-2022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44907</v>
      </c>
      <c r="E161" s="1" t="n">
        <v>46262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46262</v>
      </c>
      <c r="F162" t="inlineStr">
        <is>
          <t>ÖSTERGÖTLANDS LÄN</t>
        </is>
      </c>
      <c r="G162" t="inlineStr">
        <is>
          <t>MJÖLBY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46262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46262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46262</v>
      </c>
      <c r="F165" t="inlineStr">
        <is>
          <t>ÖSTERGÖTLANDS LÄN</t>
        </is>
      </c>
      <c r="G165" t="inlineStr">
        <is>
          <t>MJÖLBY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45261</v>
      </c>
      <c r="E166" s="1" t="n">
        <v>46262</v>
      </c>
      <c r="F166" t="inlineStr">
        <is>
          <t>ÖSTERGÖTLANDS LÄN</t>
        </is>
      </c>
      <c r="G166" t="inlineStr">
        <is>
          <t>MJÖLBY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46262</v>
      </c>
      <c r="F167" t="inlineStr">
        <is>
          <t>ÖSTERGÖTLANDS LÄN</t>
        </is>
      </c>
      <c r="G167" t="inlineStr">
        <is>
          <t>MJÖLBY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46262</v>
      </c>
      <c r="F168" t="inlineStr">
        <is>
          <t>ÖSTERGÖTLANDS LÄN</t>
        </is>
      </c>
      <c r="G168" t="inlineStr">
        <is>
          <t>MJÖLBY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46262</v>
      </c>
      <c r="F169" t="inlineStr">
        <is>
          <t>ÖSTERGÖTLANDS LÄN</t>
        </is>
      </c>
      <c r="G169" t="inlineStr">
        <is>
          <t>MJÖLBY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46262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46170</v>
      </c>
      <c r="E171" s="1" t="n">
        <v>46262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46262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46262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52655-2023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45225</v>
      </c>
      <c r="E174" s="1" t="n">
        <v>46262</v>
      </c>
      <c r="F174" t="inlineStr">
        <is>
          <t>ÖSTERGÖTLANDS LÄN</t>
        </is>
      </c>
      <c r="G174" t="inlineStr">
        <is>
          <t>MJÖLBY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46174</v>
      </c>
      <c r="E175" s="1" t="n">
        <v>46262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46262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46262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46262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24903-2026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46174</v>
      </c>
      <c r="E179" s="1" t="n">
        <v>46262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46262</v>
      </c>
      <c r="F180" t="inlineStr">
        <is>
          <t>ÖSTERGÖTLANDS LÄN</t>
        </is>
      </c>
      <c r="G180" t="inlineStr">
        <is>
          <t>MJÖLBY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46262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44629</v>
      </c>
      <c r="E182" s="1" t="n">
        <v>46262</v>
      </c>
      <c r="F182" t="inlineStr">
        <is>
          <t>ÖSTERGÖTLANDS LÄN</t>
        </is>
      </c>
      <c r="G182" t="inlineStr">
        <is>
          <t>MJÖLBY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68095-2021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44526</v>
      </c>
      <c r="E183" s="1" t="n">
        <v>46262</v>
      </c>
      <c r="F183" t="inlineStr">
        <is>
          <t>ÖSTERGÖTLANDS LÄN</t>
        </is>
      </c>
      <c r="G183" t="inlineStr">
        <is>
          <t>MJÖLBY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25503-2026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46262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58800-2022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44903</v>
      </c>
      <c r="E185" s="1" t="n">
        <v>46262</v>
      </c>
      <c r="F185" t="inlineStr">
        <is>
          <t>ÖSTERGÖTLANDS LÄN</t>
        </is>
      </c>
      <c r="G185" t="inlineStr">
        <is>
          <t>MJÖLBY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44957</v>
      </c>
      <c r="E186" s="1" t="n">
        <v>46262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46262</v>
      </c>
      <c r="F187" t="inlineStr">
        <is>
          <t>ÖSTERGÖTLANDS LÄN</t>
        </is>
      </c>
      <c r="G187" t="inlineStr">
        <is>
          <t>MJÖLBY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46262</v>
      </c>
      <c r="F188" t="inlineStr">
        <is>
          <t>ÖSTERGÖTLANDS LÄN</t>
        </is>
      </c>
      <c r="G188" t="inlineStr">
        <is>
          <t>MJÖLBY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46262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46262</v>
      </c>
      <c r="F190" t="inlineStr">
        <is>
          <t>ÖSTERGÖTLANDS LÄN</t>
        </is>
      </c>
      <c r="G190" t="inlineStr">
        <is>
          <t>MJÖLBY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27126-2026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46188</v>
      </c>
      <c r="E191" s="1" t="n">
        <v>46262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46262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46232</v>
      </c>
      <c r="E193" s="1" t="n">
        <v>46262</v>
      </c>
      <c r="F193" t="inlineStr">
        <is>
          <t>ÖSTERGÖTLANDS LÄN</t>
        </is>
      </c>
      <c r="G193" t="inlineStr">
        <is>
          <t>MJÖLBY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46232</v>
      </c>
      <c r="E194" s="1" t="n">
        <v>46262</v>
      </c>
      <c r="F194" t="inlineStr">
        <is>
          <t>ÖSTERGÖTLANDS LÄN</t>
        </is>
      </c>
      <c r="G194" t="inlineStr">
        <is>
          <t>MJÖLBY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46232</v>
      </c>
      <c r="E195" s="1" t="n">
        <v>46262</v>
      </c>
      <c r="F195" t="inlineStr">
        <is>
          <t>ÖSTERGÖTLANDS LÄN</t>
        </is>
      </c>
      <c r="G195" t="inlineStr">
        <is>
          <t>MJÖLBY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46262</v>
      </c>
      <c r="F196" t="inlineStr">
        <is>
          <t>ÖSTERGÖTLANDS LÄN</t>
        </is>
      </c>
      <c r="G196" t="inlineStr">
        <is>
          <t>MJÖLBY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46262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Kyrkan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44888</v>
      </c>
      <c r="E198" s="1" t="n">
        <v>46262</v>
      </c>
      <c r="F198" t="inlineStr">
        <is>
          <t>ÖSTERGÖTLANDS LÄN</t>
        </is>
      </c>
      <c r="G198" t="inlineStr">
        <is>
          <t>MJÖLBY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46262</v>
      </c>
      <c r="F199" t="inlineStr">
        <is>
          <t>ÖSTERGÖTLANDS LÄN</t>
        </is>
      </c>
      <c r="G199" t="inlineStr">
        <is>
          <t>MJÖLBY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46262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46237</v>
      </c>
      <c r="E201" s="1" t="n">
        <v>46262</v>
      </c>
      <c r="F201" t="inlineStr">
        <is>
          <t>ÖSTERGÖTLANDS LÄN</t>
        </is>
      </c>
      <c r="G201" t="inlineStr">
        <is>
          <t>MJÖLBY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46262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46262</v>
      </c>
      <c r="F203" t="inlineStr">
        <is>
          <t>ÖSTERGÖTLANDS LÄN</t>
        </is>
      </c>
      <c r="G203" t="inlineStr">
        <is>
          <t>MJÖLBY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46262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46262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46262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46262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46262</v>
      </c>
      <c r="F208" t="inlineStr">
        <is>
          <t>ÖSTERGÖTLANDS LÄN</t>
        </is>
      </c>
      <c r="G208" t="inlineStr">
        <is>
          <t>MJÖLBY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46262</v>
      </c>
      <c r="F209" t="inlineStr">
        <is>
          <t>ÖSTERGÖTLANDS LÄN</t>
        </is>
      </c>
      <c r="G209" t="inlineStr">
        <is>
          <t>MJÖLBY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45020</v>
      </c>
      <c r="E210" s="1" t="n">
        <v>46262</v>
      </c>
      <c r="F210" t="inlineStr">
        <is>
          <t>ÖSTERGÖTLANDS LÄN</t>
        </is>
      </c>
      <c r="G210" t="inlineStr">
        <is>
          <t>MJÖLBY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44546</v>
      </c>
      <c r="E211" s="1" t="n">
        <v>46262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46262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45293</v>
      </c>
      <c r="E213" s="1" t="n">
        <v>46262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46262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46262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46262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46262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44455</v>
      </c>
      <c r="E218" s="1" t="n">
        <v>46262</v>
      </c>
      <c r="F218" t="inlineStr">
        <is>
          <t>ÖSTERGÖTLANDS LÄN</t>
        </is>
      </c>
      <c r="G218" t="inlineStr">
        <is>
          <t>MJÖLBY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46262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Kyrkan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46262</v>
      </c>
      <c r="F220" t="inlineStr">
        <is>
          <t>ÖSTERGÖTLANDS LÄN</t>
        </is>
      </c>
      <c r="G220" t="inlineStr">
        <is>
          <t>MJÖLBY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46262</v>
      </c>
      <c r="F221" t="inlineStr">
        <is>
          <t>ÖSTERGÖTLANDS LÄN</t>
        </is>
      </c>
      <c r="G221" t="inlineStr">
        <is>
          <t>MJÖLBY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46262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46216</v>
      </c>
      <c r="E223" s="1" t="n">
        <v>46262</v>
      </c>
      <c r="F223" t="inlineStr">
        <is>
          <t>ÖSTERGÖTLANDS LÄN</t>
        </is>
      </c>
      <c r="G223" t="inlineStr">
        <is>
          <t>MJÖLBY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46262</v>
      </c>
      <c r="F224" t="inlineStr">
        <is>
          <t>ÖSTERGÖTLANDS LÄN</t>
        </is>
      </c>
      <c r="G224" t="inlineStr">
        <is>
          <t>MJÖLBY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34794-2026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46258</v>
      </c>
      <c r="E225" s="1" t="n">
        <v>46262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46262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46262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46217</v>
      </c>
      <c r="E228" s="1" t="n">
        <v>46262</v>
      </c>
      <c r="F228" t="inlineStr">
        <is>
          <t>ÖSTERGÖTLANDS LÄN</t>
        </is>
      </c>
      <c r="G228" t="inlineStr">
        <is>
          <t>MJÖLBY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46262</v>
      </c>
      <c r="F229" t="inlineStr">
        <is>
          <t>ÖSTERGÖTLANDS LÄN</t>
        </is>
      </c>
      <c r="G229" t="inlineStr">
        <is>
          <t>MJÖLBY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46262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2026-08-28T01:50:14Z</dcterms:created>
  <dcterms:modified xmlns:dcterms="http://purl.org/dc/terms/" xmlns:xsi="http://www.w3.org/2001/XMLSchema-instance" xsi:type="dcterms:W3CDTF">2026-08-28T01:50:14Z</dcterms:modified>
</cp:coreProperties>
</file>